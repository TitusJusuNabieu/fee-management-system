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.DESKTOP-PLCADO7\Desktop\tegg\document\FINANCE 2023\ENC\FINANCE 26\"/>
    </mc:Choice>
  </mc:AlternateContent>
  <bookViews>
    <workbookView xWindow="0" yWindow="0" windowWidth="23040" windowHeight="8328" activeTab="5"/>
  </bookViews>
  <sheets>
    <sheet name="AGRICULTURE" sheetId="1" r:id="rId1"/>
    <sheet name="SOCIAL SCIENCE" sheetId="2" r:id="rId2"/>
    <sheet name="TECHNOLOGY" sheetId="4" r:id="rId3"/>
    <sheet name="HEALTH SCIENCE" sheetId="5" r:id="rId4"/>
    <sheet name="THEOLOGY" sheetId="3" r:id="rId5"/>
    <sheet name="EDUCATION" sheetId="7" r:id="rId6"/>
  </sheets>
  <calcPr calcId="162913"/>
</workbook>
</file>

<file path=xl/calcChain.xml><?xml version="1.0" encoding="utf-8"?>
<calcChain xmlns="http://schemas.openxmlformats.org/spreadsheetml/2006/main">
  <c r="E346" i="5" l="1"/>
  <c r="I71" i="1"/>
  <c r="J71" i="1"/>
  <c r="I144" i="5" l="1"/>
  <c r="J144" i="5"/>
  <c r="J172" i="5"/>
  <c r="I172" i="5"/>
  <c r="I310" i="5" l="1"/>
  <c r="J310" i="5"/>
  <c r="I400" i="2" l="1"/>
  <c r="J400" i="2"/>
  <c r="I401" i="2"/>
  <c r="J401" i="2"/>
  <c r="I398" i="2"/>
  <c r="J398" i="2"/>
  <c r="J513" i="5" l="1"/>
  <c r="J514" i="5"/>
  <c r="I514" i="5"/>
  <c r="I515" i="5"/>
  <c r="I216" i="5" l="1"/>
  <c r="I359" i="5" l="1"/>
  <c r="I360" i="5"/>
  <c r="J359" i="5"/>
  <c r="I49" i="5" l="1"/>
  <c r="J49" i="5"/>
  <c r="J424" i="5" l="1"/>
  <c r="I424" i="5"/>
  <c r="E425" i="5"/>
  <c r="D425" i="5"/>
  <c r="J352" i="5"/>
  <c r="J353" i="5"/>
  <c r="J354" i="5"/>
  <c r="J355" i="5"/>
  <c r="J356" i="5"/>
  <c r="J357" i="5"/>
  <c r="J358" i="5"/>
  <c r="J360" i="5"/>
  <c r="I81" i="7"/>
  <c r="K69" i="7"/>
  <c r="J219" i="1" l="1"/>
  <c r="L580" i="5" l="1"/>
  <c r="H105" i="7" l="1"/>
  <c r="I105" i="7" s="1"/>
  <c r="I43" i="1" l="1"/>
  <c r="J43" i="1"/>
  <c r="I290" i="1" l="1"/>
  <c r="J290" i="1" s="1"/>
  <c r="H232" i="4" l="1"/>
  <c r="I232" i="4" s="1"/>
  <c r="E198" i="1" l="1"/>
  <c r="D198" i="1"/>
  <c r="H5" i="7"/>
  <c r="I5" i="7"/>
  <c r="H6" i="7"/>
  <c r="I6" i="7" s="1"/>
  <c r="H7" i="7"/>
  <c r="I7" i="7" s="1"/>
  <c r="H8" i="7"/>
  <c r="I8" i="7" s="1"/>
  <c r="H9" i="7"/>
  <c r="I9" i="7" s="1"/>
  <c r="H10" i="7"/>
  <c r="I10" i="7" s="1"/>
  <c r="H11" i="7"/>
  <c r="I11" i="7" s="1"/>
  <c r="H12" i="7"/>
  <c r="I12" i="7" s="1"/>
  <c r="H13" i="7"/>
  <c r="I13" i="7" s="1"/>
  <c r="D14" i="7"/>
  <c r="E14" i="7"/>
  <c r="F14" i="7"/>
  <c r="G14" i="7"/>
  <c r="H19" i="7"/>
  <c r="I19" i="7"/>
  <c r="H20" i="7"/>
  <c r="I20" i="7" s="1"/>
  <c r="H21" i="7"/>
  <c r="I21" i="7" s="1"/>
  <c r="H22" i="7"/>
  <c r="I22" i="7" s="1"/>
  <c r="H23" i="7"/>
  <c r="I23" i="7" s="1"/>
  <c r="H24" i="7"/>
  <c r="I24" i="7" s="1"/>
  <c r="H25" i="7"/>
  <c r="I25" i="7" s="1"/>
  <c r="H26" i="7"/>
  <c r="I26" i="7" s="1"/>
  <c r="I27" i="7"/>
  <c r="H28" i="7"/>
  <c r="I28" i="7"/>
  <c r="H29" i="7"/>
  <c r="I29" i="7" s="1"/>
  <c r="H30" i="7"/>
  <c r="I30" i="7" s="1"/>
  <c r="H31" i="7"/>
  <c r="I31" i="7" s="1"/>
  <c r="H32" i="7"/>
  <c r="I32" i="7"/>
  <c r="H33" i="7"/>
  <c r="I33" i="7" s="1"/>
  <c r="H34" i="7"/>
  <c r="I34" i="7" s="1"/>
  <c r="H35" i="7"/>
  <c r="I35" i="7" s="1"/>
  <c r="H36" i="7"/>
  <c r="I36" i="7" s="1"/>
  <c r="H37" i="7"/>
  <c r="I37" i="7" s="1"/>
  <c r="D38" i="7"/>
  <c r="E38" i="7"/>
  <c r="F38" i="7"/>
  <c r="G38" i="7"/>
  <c r="H43" i="7"/>
  <c r="I43" i="7" s="1"/>
  <c r="H44" i="7"/>
  <c r="I44" i="7" s="1"/>
  <c r="H45" i="7"/>
  <c r="I45" i="7" s="1"/>
  <c r="H46" i="7"/>
  <c r="I46" i="7" s="1"/>
  <c r="H47" i="7"/>
  <c r="I47" i="7" s="1"/>
  <c r="H48" i="7"/>
  <c r="I48" i="7" s="1"/>
  <c r="H49" i="7"/>
  <c r="I49" i="7" s="1"/>
  <c r="H50" i="7"/>
  <c r="I50" i="7" s="1"/>
  <c r="H51" i="7"/>
  <c r="I51" i="7" s="1"/>
  <c r="H52" i="7"/>
  <c r="I52" i="7" s="1"/>
  <c r="H53" i="7"/>
  <c r="I53" i="7" s="1"/>
  <c r="H54" i="7"/>
  <c r="I54" i="7" s="1"/>
  <c r="H55" i="7"/>
  <c r="I55" i="7" s="1"/>
  <c r="H56" i="7"/>
  <c r="I56" i="7" s="1"/>
  <c r="H57" i="7"/>
  <c r="I57" i="7" s="1"/>
  <c r="H58" i="7"/>
  <c r="I58" i="7" s="1"/>
  <c r="H59" i="7"/>
  <c r="I59" i="7" s="1"/>
  <c r="H60" i="7"/>
  <c r="I60" i="7" s="1"/>
  <c r="H61" i="7"/>
  <c r="I61" i="7" s="1"/>
  <c r="H62" i="7"/>
  <c r="I62" i="7" s="1"/>
  <c r="H63" i="7"/>
  <c r="I63" i="7" s="1"/>
  <c r="D64" i="7"/>
  <c r="E64" i="7"/>
  <c r="F64" i="7"/>
  <c r="G64" i="7"/>
  <c r="H69" i="7"/>
  <c r="I69" i="7" s="1"/>
  <c r="H70" i="7"/>
  <c r="I70" i="7" s="1"/>
  <c r="H71" i="7"/>
  <c r="I71" i="7"/>
  <c r="H72" i="7"/>
  <c r="I72" i="7" s="1"/>
  <c r="H73" i="7"/>
  <c r="I73" i="7" s="1"/>
  <c r="H74" i="7"/>
  <c r="I74" i="7" s="1"/>
  <c r="H75" i="7"/>
  <c r="I75" i="7"/>
  <c r="H76" i="7"/>
  <c r="I76" i="7" s="1"/>
  <c r="H77" i="7"/>
  <c r="I77" i="7" s="1"/>
  <c r="H78" i="7"/>
  <c r="I78" i="7" s="1"/>
  <c r="I79" i="7"/>
  <c r="H80" i="7"/>
  <c r="I80" i="7" s="1"/>
  <c r="H81" i="7"/>
  <c r="H82" i="7"/>
  <c r="I82" i="7" s="1"/>
  <c r="H83" i="7"/>
  <c r="I83" i="7" s="1"/>
  <c r="H84" i="7"/>
  <c r="I84" i="7"/>
  <c r="H85" i="7"/>
  <c r="I85" i="7" s="1"/>
  <c r="H86" i="7"/>
  <c r="I86" i="7" s="1"/>
  <c r="H87" i="7"/>
  <c r="I87" i="7" s="1"/>
  <c r="H88" i="7"/>
  <c r="I88" i="7"/>
  <c r="H89" i="7"/>
  <c r="I89" i="7" s="1"/>
  <c r="H90" i="7"/>
  <c r="I90" i="7" s="1"/>
  <c r="H91" i="7"/>
  <c r="I91" i="7" s="1"/>
  <c r="H92" i="7"/>
  <c r="I92" i="7" s="1"/>
  <c r="H93" i="7"/>
  <c r="I93" i="7" s="1"/>
  <c r="H94" i="7"/>
  <c r="I94" i="7" s="1"/>
  <c r="H95" i="7"/>
  <c r="I95" i="7" s="1"/>
  <c r="H96" i="7"/>
  <c r="I96" i="7" s="1"/>
  <c r="H97" i="7"/>
  <c r="I97" i="7" s="1"/>
  <c r="H98" i="7"/>
  <c r="I98" i="7" s="1"/>
  <c r="H99" i="7"/>
  <c r="I99" i="7" s="1"/>
  <c r="H100" i="7"/>
  <c r="I100" i="7" s="1"/>
  <c r="H101" i="7"/>
  <c r="I101" i="7" s="1"/>
  <c r="H102" i="7"/>
  <c r="I102" i="7" s="1"/>
  <c r="H103" i="7"/>
  <c r="I103" i="7" s="1"/>
  <c r="H104" i="7"/>
  <c r="I104" i="7"/>
  <c r="D106" i="7"/>
  <c r="E106" i="7"/>
  <c r="F106" i="7"/>
  <c r="G106" i="7"/>
  <c r="H111" i="7"/>
  <c r="I111" i="7" s="1"/>
  <c r="I113" i="7" s="1"/>
  <c r="H112" i="7"/>
  <c r="I112" i="7" s="1"/>
  <c r="D113" i="7"/>
  <c r="E113" i="7"/>
  <c r="F113" i="7"/>
  <c r="G113" i="7"/>
  <c r="H118" i="7"/>
  <c r="I118" i="7" s="1"/>
  <c r="H119" i="7"/>
  <c r="I119" i="7" s="1"/>
  <c r="H120" i="7"/>
  <c r="I120" i="7"/>
  <c r="H121" i="7"/>
  <c r="I121" i="7"/>
  <c r="D122" i="7"/>
  <c r="E122" i="7"/>
  <c r="F122" i="7"/>
  <c r="G122" i="7"/>
  <c r="H127" i="7"/>
  <c r="I127" i="7"/>
  <c r="H128" i="7"/>
  <c r="I128" i="7" s="1"/>
  <c r="H129" i="7"/>
  <c r="I129" i="7" s="1"/>
  <c r="H130" i="7"/>
  <c r="I130" i="7" s="1"/>
  <c r="H131" i="7"/>
  <c r="I131" i="7" s="1"/>
  <c r="H132" i="7"/>
  <c r="I132" i="7" s="1"/>
  <c r="H133" i="7"/>
  <c r="I133" i="7" s="1"/>
  <c r="H134" i="7"/>
  <c r="I134" i="7"/>
  <c r="H135" i="7"/>
  <c r="I135" i="7" s="1"/>
  <c r="H136" i="7"/>
  <c r="I136" i="7" s="1"/>
  <c r="H137" i="7"/>
  <c r="I137" i="7" s="1"/>
  <c r="H138" i="7"/>
  <c r="I138" i="7"/>
  <c r="H139" i="7"/>
  <c r="I139" i="7"/>
  <c r="H140" i="7"/>
  <c r="I140" i="7" s="1"/>
  <c r="H141" i="7"/>
  <c r="I141" i="7" s="1"/>
  <c r="H142" i="7"/>
  <c r="I142" i="7" s="1"/>
  <c r="D143" i="7"/>
  <c r="E143" i="7"/>
  <c r="F143" i="7"/>
  <c r="G143" i="7"/>
  <c r="H148" i="7"/>
  <c r="I148" i="7" s="1"/>
  <c r="H149" i="7"/>
  <c r="I149" i="7" s="1"/>
  <c r="I151" i="7" s="1"/>
  <c r="H150" i="7"/>
  <c r="I150" i="7" s="1"/>
  <c r="D151" i="7"/>
  <c r="E151" i="7"/>
  <c r="F151" i="7"/>
  <c r="G151" i="7"/>
  <c r="H156" i="7"/>
  <c r="I156" i="7" s="1"/>
  <c r="H157" i="7"/>
  <c r="I157" i="7" s="1"/>
  <c r="H158" i="7"/>
  <c r="I158" i="7"/>
  <c r="H159" i="7"/>
  <c r="I159" i="7"/>
  <c r="H160" i="7"/>
  <c r="I160" i="7" s="1"/>
  <c r="D161" i="7"/>
  <c r="E161" i="7"/>
  <c r="F161" i="7"/>
  <c r="G161" i="7"/>
  <c r="H166" i="7"/>
  <c r="I166" i="7" s="1"/>
  <c r="H151" i="7" l="1"/>
  <c r="H113" i="7"/>
  <c r="H38" i="7"/>
  <c r="H161" i="7"/>
  <c r="I14" i="7"/>
  <c r="H143" i="7"/>
  <c r="H14" i="7"/>
  <c r="I122" i="7"/>
  <c r="I38" i="7"/>
  <c r="I161" i="7"/>
  <c r="I106" i="7"/>
  <c r="I143" i="7"/>
  <c r="I64" i="7"/>
  <c r="H106" i="7"/>
  <c r="H64" i="7"/>
  <c r="H122" i="7"/>
  <c r="I23" i="5"/>
  <c r="J23" i="5"/>
  <c r="I24" i="5"/>
  <c r="J24" i="5"/>
  <c r="E599" i="5" l="1"/>
  <c r="F599" i="5"/>
  <c r="G599" i="5"/>
  <c r="H599" i="5"/>
  <c r="D599" i="5"/>
  <c r="E533" i="5"/>
  <c r="F533" i="5"/>
  <c r="G533" i="5"/>
  <c r="H533" i="5"/>
  <c r="D533" i="5"/>
  <c r="E454" i="5"/>
  <c r="F454" i="5"/>
  <c r="G454" i="5"/>
  <c r="H454" i="5"/>
  <c r="D454" i="5"/>
  <c r="E444" i="5"/>
  <c r="F444" i="5"/>
  <c r="G444" i="5"/>
  <c r="H444" i="5"/>
  <c r="D444" i="5"/>
  <c r="F425" i="5"/>
  <c r="G425" i="5"/>
  <c r="H425" i="5"/>
  <c r="E414" i="5"/>
  <c r="F414" i="5"/>
  <c r="G414" i="5"/>
  <c r="H414" i="5"/>
  <c r="D414" i="5"/>
  <c r="E390" i="5"/>
  <c r="F390" i="5"/>
  <c r="G390" i="5"/>
  <c r="H390" i="5"/>
  <c r="D390" i="5"/>
  <c r="E361" i="5"/>
  <c r="F361" i="5"/>
  <c r="G361" i="5"/>
  <c r="H361" i="5"/>
  <c r="D361" i="5"/>
  <c r="F346" i="5"/>
  <c r="G346" i="5"/>
  <c r="H346" i="5"/>
  <c r="D346" i="5"/>
  <c r="E313" i="5"/>
  <c r="F313" i="5"/>
  <c r="G313" i="5"/>
  <c r="H313" i="5"/>
  <c r="D313" i="5"/>
  <c r="I74" i="5"/>
  <c r="I75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J184" i="5" s="1"/>
  <c r="I185" i="5"/>
  <c r="I186" i="5"/>
  <c r="I187" i="5"/>
  <c r="I188" i="5"/>
  <c r="I189" i="5"/>
  <c r="I190" i="5"/>
  <c r="I191" i="5"/>
  <c r="E192" i="5"/>
  <c r="F192" i="5"/>
  <c r="G192" i="5"/>
  <c r="H192" i="5"/>
  <c r="D192" i="5"/>
  <c r="E68" i="5"/>
  <c r="F68" i="5"/>
  <c r="G68" i="5"/>
  <c r="H68" i="5"/>
  <c r="D68" i="5"/>
  <c r="E278" i="4"/>
  <c r="F278" i="4"/>
  <c r="G278" i="4"/>
  <c r="D278" i="4"/>
  <c r="E264" i="4"/>
  <c r="F264" i="4"/>
  <c r="G264" i="4"/>
  <c r="D264" i="4"/>
  <c r="E256" i="4"/>
  <c r="F256" i="4"/>
  <c r="G256" i="4"/>
  <c r="D256" i="4"/>
  <c r="E238" i="4"/>
  <c r="F238" i="4"/>
  <c r="G238" i="4"/>
  <c r="D238" i="4"/>
  <c r="E221" i="4"/>
  <c r="F221" i="4"/>
  <c r="G221" i="4"/>
  <c r="D221" i="4"/>
  <c r="E215" i="4"/>
  <c r="F215" i="4"/>
  <c r="G215" i="4"/>
  <c r="D215" i="4"/>
  <c r="E208" i="4"/>
  <c r="F208" i="4"/>
  <c r="G208" i="4"/>
  <c r="H208" i="4"/>
  <c r="D208" i="4"/>
  <c r="E200" i="4"/>
  <c r="F200" i="4"/>
  <c r="G200" i="4"/>
  <c r="D200" i="4"/>
  <c r="E192" i="4"/>
  <c r="F192" i="4"/>
  <c r="G192" i="4"/>
  <c r="D192" i="4"/>
  <c r="E185" i="4"/>
  <c r="F185" i="4"/>
  <c r="G185" i="4"/>
  <c r="D185" i="4"/>
  <c r="E172" i="4"/>
  <c r="F172" i="4"/>
  <c r="G172" i="4"/>
  <c r="D172" i="4"/>
  <c r="E161" i="4"/>
  <c r="F161" i="4"/>
  <c r="G161" i="4"/>
  <c r="D161" i="4"/>
  <c r="E154" i="4"/>
  <c r="F154" i="4"/>
  <c r="G154" i="4"/>
  <c r="H154" i="4"/>
  <c r="I154" i="4"/>
  <c r="D154" i="4"/>
  <c r="E147" i="4"/>
  <c r="F147" i="4"/>
  <c r="G147" i="4"/>
  <c r="D147" i="4"/>
  <c r="E140" i="4"/>
  <c r="F140" i="4"/>
  <c r="G140" i="4"/>
  <c r="D140" i="4"/>
  <c r="E132" i="4"/>
  <c r="F132" i="4"/>
  <c r="G132" i="4"/>
  <c r="D132" i="4"/>
  <c r="E119" i="4"/>
  <c r="F119" i="4"/>
  <c r="G119" i="4"/>
  <c r="D119" i="4"/>
  <c r="I283" i="4"/>
  <c r="H283" i="4"/>
  <c r="H276" i="4"/>
  <c r="I276" i="4" s="1"/>
  <c r="I278" i="4" s="1"/>
  <c r="H277" i="4"/>
  <c r="I277" i="4" s="1"/>
  <c r="H275" i="4"/>
  <c r="I275" i="4" s="1"/>
  <c r="H269" i="4"/>
  <c r="I269" i="4" s="1"/>
  <c r="I263" i="4"/>
  <c r="H262" i="4"/>
  <c r="I262" i="4" s="1"/>
  <c r="I264" i="4" s="1"/>
  <c r="H245" i="4"/>
  <c r="I245" i="4" s="1"/>
  <c r="H246" i="4"/>
  <c r="I246" i="4" s="1"/>
  <c r="I256" i="4" s="1"/>
  <c r="H247" i="4"/>
  <c r="I247" i="4" s="1"/>
  <c r="H248" i="4"/>
  <c r="I248" i="4" s="1"/>
  <c r="H249" i="4"/>
  <c r="I249" i="4" s="1"/>
  <c r="H250" i="4"/>
  <c r="I250" i="4" s="1"/>
  <c r="H251" i="4"/>
  <c r="I251" i="4" s="1"/>
  <c r="H252" i="4"/>
  <c r="I252" i="4" s="1"/>
  <c r="H253" i="4"/>
  <c r="I253" i="4" s="1"/>
  <c r="H254" i="4"/>
  <c r="I254" i="4" s="1"/>
  <c r="H255" i="4"/>
  <c r="I255" i="4" s="1"/>
  <c r="H244" i="4"/>
  <c r="I244" i="4" s="1"/>
  <c r="H227" i="4"/>
  <c r="I227" i="4" s="1"/>
  <c r="H228" i="4"/>
  <c r="I228" i="4" s="1"/>
  <c r="H229" i="4"/>
  <c r="I229" i="4" s="1"/>
  <c r="H230" i="4"/>
  <c r="I230" i="4" s="1"/>
  <c r="H231" i="4"/>
  <c r="I231" i="4" s="1"/>
  <c r="H233" i="4"/>
  <c r="I233" i="4" s="1"/>
  <c r="H234" i="4"/>
  <c r="I234" i="4" s="1"/>
  <c r="H235" i="4"/>
  <c r="I235" i="4" s="1"/>
  <c r="H236" i="4"/>
  <c r="I236" i="4" s="1"/>
  <c r="H237" i="4"/>
  <c r="I237" i="4" s="1"/>
  <c r="H226" i="4"/>
  <c r="I226" i="4" s="1"/>
  <c r="H220" i="4"/>
  <c r="I220" i="4" s="1"/>
  <c r="H219" i="4"/>
  <c r="I219" i="4" s="1"/>
  <c r="I221" i="4" s="1"/>
  <c r="H214" i="4"/>
  <c r="I214" i="4" s="1"/>
  <c r="H213" i="4"/>
  <c r="I213" i="4" s="1"/>
  <c r="I215" i="4" s="1"/>
  <c r="H197" i="4"/>
  <c r="I197" i="4" s="1"/>
  <c r="H198" i="4"/>
  <c r="I198" i="4" s="1"/>
  <c r="H199" i="4"/>
  <c r="I199" i="4" s="1"/>
  <c r="I200" i="4" s="1"/>
  <c r="H191" i="4"/>
  <c r="I191" i="4" s="1"/>
  <c r="I192" i="4" s="1"/>
  <c r="H190" i="4"/>
  <c r="I190" i="4" s="1"/>
  <c r="H182" i="4"/>
  <c r="I182" i="4" s="1"/>
  <c r="H183" i="4"/>
  <c r="I183" i="4" s="1"/>
  <c r="H184" i="4"/>
  <c r="I184" i="4" s="1"/>
  <c r="H176" i="4"/>
  <c r="I176" i="4" s="1"/>
  <c r="H167" i="4"/>
  <c r="I167" i="4" s="1"/>
  <c r="H168" i="4"/>
  <c r="I168" i="4" s="1"/>
  <c r="H169" i="4"/>
  <c r="I169" i="4" s="1"/>
  <c r="H170" i="4"/>
  <c r="I170" i="4" s="1"/>
  <c r="H171" i="4"/>
  <c r="I171" i="4" s="1"/>
  <c r="H166" i="4"/>
  <c r="I166" i="4" s="1"/>
  <c r="H160" i="4"/>
  <c r="I160" i="4" s="1"/>
  <c r="H159" i="4"/>
  <c r="I159" i="4" s="1"/>
  <c r="I161" i="4" s="1"/>
  <c r="H153" i="4"/>
  <c r="I153" i="4" s="1"/>
  <c r="H152" i="4"/>
  <c r="I152" i="4" s="1"/>
  <c r="H146" i="4"/>
  <c r="I146" i="4" s="1"/>
  <c r="H145" i="4"/>
  <c r="I145" i="4" s="1"/>
  <c r="H138" i="4"/>
  <c r="I138" i="4" s="1"/>
  <c r="H139" i="4"/>
  <c r="I139" i="4" s="1"/>
  <c r="H137" i="4"/>
  <c r="I137" i="4" s="1"/>
  <c r="H126" i="4"/>
  <c r="I126" i="4" s="1"/>
  <c r="H127" i="4"/>
  <c r="I127" i="4" s="1"/>
  <c r="H128" i="4"/>
  <c r="I128" i="4" s="1"/>
  <c r="H129" i="4"/>
  <c r="I129" i="4" s="1"/>
  <c r="H130" i="4"/>
  <c r="I130" i="4" s="1"/>
  <c r="H131" i="4"/>
  <c r="I131" i="4" s="1"/>
  <c r="H124" i="4"/>
  <c r="I124" i="4" s="1"/>
  <c r="H125" i="4"/>
  <c r="I125" i="4" s="1"/>
  <c r="I132" i="4" s="1"/>
  <c r="H118" i="4"/>
  <c r="I118" i="4" s="1"/>
  <c r="H109" i="4"/>
  <c r="I109" i="4" s="1"/>
  <c r="H110" i="4"/>
  <c r="I110" i="4" s="1"/>
  <c r="H111" i="4"/>
  <c r="I111" i="4" s="1"/>
  <c r="H112" i="4"/>
  <c r="I112" i="4" s="1"/>
  <c r="H113" i="4"/>
  <c r="I113" i="4" s="1"/>
  <c r="H114" i="4"/>
  <c r="I114" i="4" s="1"/>
  <c r="H115" i="4"/>
  <c r="I115" i="4" s="1"/>
  <c r="H116" i="4"/>
  <c r="I116" i="4" s="1"/>
  <c r="H117" i="4"/>
  <c r="I117" i="4" s="1"/>
  <c r="H96" i="4"/>
  <c r="I96" i="4" s="1"/>
  <c r="H97" i="4"/>
  <c r="I97" i="4" s="1"/>
  <c r="H98" i="4"/>
  <c r="I98" i="4" s="1"/>
  <c r="H99" i="4"/>
  <c r="I99" i="4" s="1"/>
  <c r="H100" i="4"/>
  <c r="I100" i="4" s="1"/>
  <c r="H101" i="4"/>
  <c r="I101" i="4" s="1"/>
  <c r="H102" i="4"/>
  <c r="I102" i="4" s="1"/>
  <c r="H103" i="4"/>
  <c r="I103" i="4" s="1"/>
  <c r="H95" i="4"/>
  <c r="I95" i="4" s="1"/>
  <c r="H85" i="4"/>
  <c r="I85" i="4" s="1"/>
  <c r="H86" i="4"/>
  <c r="I86" i="4" s="1"/>
  <c r="H87" i="4"/>
  <c r="I87" i="4" s="1"/>
  <c r="H88" i="4"/>
  <c r="I88" i="4" s="1"/>
  <c r="H89" i="4"/>
  <c r="I89" i="4" s="1"/>
  <c r="H62" i="4"/>
  <c r="I62" i="4" s="1"/>
  <c r="H63" i="4"/>
  <c r="I63" i="4" s="1"/>
  <c r="H64" i="4"/>
  <c r="H65" i="4"/>
  <c r="I65" i="4" s="1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64" i="4"/>
  <c r="H61" i="4"/>
  <c r="I61" i="4" s="1"/>
  <c r="E104" i="4"/>
  <c r="F104" i="4"/>
  <c r="G104" i="4"/>
  <c r="D104" i="4"/>
  <c r="E90" i="4"/>
  <c r="D90" i="4"/>
  <c r="E80" i="4"/>
  <c r="F80" i="4"/>
  <c r="G80" i="4"/>
  <c r="D80" i="4"/>
  <c r="H53" i="4"/>
  <c r="K53" i="4"/>
  <c r="E56" i="4"/>
  <c r="F56" i="4"/>
  <c r="G56" i="4"/>
  <c r="D56" i="4"/>
  <c r="I14" i="4"/>
  <c r="E28" i="4"/>
  <c r="F28" i="4"/>
  <c r="G28" i="4"/>
  <c r="D28" i="4"/>
  <c r="E648" i="2"/>
  <c r="F648" i="2"/>
  <c r="G648" i="2"/>
  <c r="H648" i="2"/>
  <c r="D648" i="2"/>
  <c r="E631" i="2"/>
  <c r="F631" i="2"/>
  <c r="G631" i="2"/>
  <c r="H631" i="2"/>
  <c r="D631" i="2"/>
  <c r="E624" i="2"/>
  <c r="F624" i="2"/>
  <c r="G624" i="2"/>
  <c r="H624" i="2"/>
  <c r="D624" i="2"/>
  <c r="E615" i="2"/>
  <c r="F615" i="2"/>
  <c r="G615" i="2"/>
  <c r="H615" i="2"/>
  <c r="D615" i="2"/>
  <c r="E607" i="2"/>
  <c r="F607" i="2"/>
  <c r="G607" i="2"/>
  <c r="H607" i="2"/>
  <c r="D607" i="2"/>
  <c r="E593" i="2"/>
  <c r="F593" i="2"/>
  <c r="G593" i="2"/>
  <c r="H593" i="2"/>
  <c r="D593" i="2"/>
  <c r="E582" i="2"/>
  <c r="F582" i="2"/>
  <c r="G582" i="2"/>
  <c r="H582" i="2"/>
  <c r="D582" i="2"/>
  <c r="E568" i="2"/>
  <c r="F568" i="2"/>
  <c r="G568" i="2"/>
  <c r="H568" i="2"/>
  <c r="D568" i="2"/>
  <c r="E560" i="2"/>
  <c r="F560" i="2"/>
  <c r="G560" i="2"/>
  <c r="H560" i="2"/>
  <c r="D560" i="2"/>
  <c r="E551" i="2"/>
  <c r="F551" i="2"/>
  <c r="G551" i="2"/>
  <c r="H551" i="2"/>
  <c r="D551" i="2"/>
  <c r="E542" i="2"/>
  <c r="F542" i="2"/>
  <c r="G542" i="2"/>
  <c r="H542" i="2"/>
  <c r="I542" i="2"/>
  <c r="D542" i="2"/>
  <c r="E531" i="2"/>
  <c r="F531" i="2"/>
  <c r="G531" i="2"/>
  <c r="H531" i="2"/>
  <c r="D531" i="2"/>
  <c r="E524" i="2"/>
  <c r="F524" i="2"/>
  <c r="G524" i="2"/>
  <c r="H524" i="2"/>
  <c r="I524" i="2"/>
  <c r="D524" i="2"/>
  <c r="E516" i="2"/>
  <c r="F516" i="2"/>
  <c r="G516" i="2"/>
  <c r="H516" i="2"/>
  <c r="D516" i="2"/>
  <c r="E509" i="2"/>
  <c r="F509" i="2"/>
  <c r="G509" i="2"/>
  <c r="H509" i="2"/>
  <c r="D509" i="2"/>
  <c r="E501" i="2"/>
  <c r="F501" i="2"/>
  <c r="G501" i="2"/>
  <c r="H501" i="2"/>
  <c r="D501" i="2"/>
  <c r="E494" i="2"/>
  <c r="F494" i="2"/>
  <c r="G494" i="2"/>
  <c r="H494" i="2"/>
  <c r="D494" i="2"/>
  <c r="E481" i="2"/>
  <c r="F481" i="2"/>
  <c r="G481" i="2"/>
  <c r="H481" i="2"/>
  <c r="I478" i="2"/>
  <c r="J478" i="2"/>
  <c r="I479" i="2"/>
  <c r="J479" i="2"/>
  <c r="I480" i="2"/>
  <c r="J480" i="2"/>
  <c r="D481" i="2"/>
  <c r="E472" i="2"/>
  <c r="F472" i="2"/>
  <c r="G472" i="2"/>
  <c r="H472" i="2"/>
  <c r="D472" i="2"/>
  <c r="E465" i="2"/>
  <c r="F465" i="2"/>
  <c r="G465" i="2"/>
  <c r="H465" i="2"/>
  <c r="D465" i="2"/>
  <c r="E444" i="2"/>
  <c r="F444" i="2"/>
  <c r="G444" i="2"/>
  <c r="H444" i="2"/>
  <c r="D444" i="2"/>
  <c r="I428" i="2"/>
  <c r="I429" i="2"/>
  <c r="I430" i="2"/>
  <c r="J430" i="2"/>
  <c r="E432" i="2"/>
  <c r="F432" i="2"/>
  <c r="G432" i="2"/>
  <c r="H432" i="2"/>
  <c r="D432" i="2"/>
  <c r="E411" i="2"/>
  <c r="F411" i="2"/>
  <c r="G411" i="2"/>
  <c r="H411" i="2"/>
  <c r="D411" i="2"/>
  <c r="E402" i="2"/>
  <c r="F402" i="2"/>
  <c r="G402" i="2"/>
  <c r="H402" i="2"/>
  <c r="D402" i="2"/>
  <c r="E384" i="2"/>
  <c r="F384" i="2"/>
  <c r="G384" i="2"/>
  <c r="H384" i="2"/>
  <c r="D384" i="2"/>
  <c r="E323" i="2"/>
  <c r="F323" i="2"/>
  <c r="G323" i="2"/>
  <c r="H323" i="2"/>
  <c r="D323" i="2"/>
  <c r="E277" i="2"/>
  <c r="F277" i="2"/>
  <c r="G277" i="2"/>
  <c r="H277" i="2"/>
  <c r="D277" i="2"/>
  <c r="E261" i="2"/>
  <c r="F261" i="2"/>
  <c r="G261" i="2"/>
  <c r="H261" i="2"/>
  <c r="D261" i="2"/>
  <c r="E239" i="2"/>
  <c r="F239" i="2"/>
  <c r="G239" i="2"/>
  <c r="H239" i="2"/>
  <c r="D239" i="2"/>
  <c r="E212" i="2"/>
  <c r="F212" i="2"/>
  <c r="G212" i="2"/>
  <c r="H212" i="2"/>
  <c r="D212" i="2"/>
  <c r="J188" i="2"/>
  <c r="E190" i="2"/>
  <c r="F190" i="2"/>
  <c r="G190" i="2"/>
  <c r="H190" i="2"/>
  <c r="D190" i="2"/>
  <c r="E168" i="2"/>
  <c r="F168" i="2"/>
  <c r="G168" i="2"/>
  <c r="H168" i="2"/>
  <c r="D168" i="2"/>
  <c r="E161" i="2"/>
  <c r="F161" i="2"/>
  <c r="G161" i="2"/>
  <c r="H161" i="2"/>
  <c r="D161" i="2"/>
  <c r="E140" i="2"/>
  <c r="F140" i="2"/>
  <c r="G140" i="2"/>
  <c r="H140" i="2"/>
  <c r="D140" i="2"/>
  <c r="E114" i="2"/>
  <c r="F114" i="2"/>
  <c r="G114" i="2"/>
  <c r="H114" i="2"/>
  <c r="D114" i="2"/>
  <c r="E104" i="2"/>
  <c r="F104" i="2"/>
  <c r="G104" i="2"/>
  <c r="H104" i="2"/>
  <c r="D104" i="2"/>
  <c r="E96" i="2"/>
  <c r="F96" i="2"/>
  <c r="G96" i="2"/>
  <c r="H96" i="2"/>
  <c r="D96" i="2"/>
  <c r="E80" i="2"/>
  <c r="F80" i="2"/>
  <c r="G80" i="2"/>
  <c r="H80" i="2"/>
  <c r="D80" i="2"/>
  <c r="E68" i="2"/>
  <c r="F68" i="2"/>
  <c r="G68" i="2"/>
  <c r="H68" i="2"/>
  <c r="D68" i="2"/>
  <c r="E59" i="2"/>
  <c r="F59" i="2"/>
  <c r="G59" i="2"/>
  <c r="H59" i="2"/>
  <c r="D59" i="2"/>
  <c r="E47" i="2"/>
  <c r="F47" i="2"/>
  <c r="G47" i="2"/>
  <c r="H47" i="2"/>
  <c r="D47" i="2"/>
  <c r="E32" i="2"/>
  <c r="F32" i="2"/>
  <c r="G32" i="2"/>
  <c r="H32" i="2"/>
  <c r="D32" i="2"/>
  <c r="E11" i="2"/>
  <c r="F11" i="2"/>
  <c r="G11" i="2"/>
  <c r="H11" i="2"/>
  <c r="D11" i="2"/>
  <c r="I147" i="4" l="1"/>
  <c r="H278" i="4"/>
  <c r="I140" i="4"/>
  <c r="I185" i="4"/>
  <c r="H147" i="4"/>
  <c r="H221" i="4"/>
  <c r="H264" i="4"/>
  <c r="H192" i="4"/>
  <c r="H215" i="4"/>
  <c r="H256" i="4"/>
  <c r="I119" i="4"/>
  <c r="I172" i="4"/>
  <c r="H161" i="4"/>
  <c r="H132" i="4"/>
  <c r="H200" i="4"/>
  <c r="H119" i="4"/>
  <c r="H185" i="4"/>
  <c r="H140" i="4"/>
  <c r="H172" i="4"/>
  <c r="I238" i="4"/>
  <c r="H238" i="4"/>
  <c r="H104" i="4"/>
  <c r="G90" i="4"/>
  <c r="F90" i="4"/>
  <c r="H80" i="4"/>
  <c r="I481" i="2"/>
  <c r="J481" i="2"/>
  <c r="H90" i="4" l="1"/>
  <c r="E360" i="1" l="1"/>
  <c r="F360" i="1"/>
  <c r="G360" i="1"/>
  <c r="H360" i="1"/>
  <c r="D360" i="1"/>
  <c r="E346" i="1"/>
  <c r="F346" i="1"/>
  <c r="G346" i="1"/>
  <c r="H346" i="1"/>
  <c r="D346" i="1"/>
  <c r="E340" i="1"/>
  <c r="F340" i="1"/>
  <c r="G340" i="1"/>
  <c r="H340" i="1"/>
  <c r="D340" i="1"/>
  <c r="E332" i="1"/>
  <c r="F332" i="1"/>
  <c r="G332" i="1"/>
  <c r="H332" i="1"/>
  <c r="D332" i="1"/>
  <c r="E306" i="1"/>
  <c r="F306" i="1"/>
  <c r="G306" i="1"/>
  <c r="H306" i="1"/>
  <c r="D306" i="1"/>
  <c r="E263" i="1"/>
  <c r="F263" i="1"/>
  <c r="G263" i="1"/>
  <c r="H263" i="1"/>
  <c r="D263" i="1"/>
  <c r="E247" i="1"/>
  <c r="F247" i="1"/>
  <c r="G247" i="1"/>
  <c r="H247" i="1"/>
  <c r="D247" i="1"/>
  <c r="E214" i="1"/>
  <c r="F214" i="1"/>
  <c r="G214" i="1"/>
  <c r="H214" i="1"/>
  <c r="D214" i="1"/>
  <c r="E207" i="1"/>
  <c r="F207" i="1"/>
  <c r="G207" i="1"/>
  <c r="H207" i="1"/>
  <c r="D207" i="1"/>
  <c r="F198" i="1"/>
  <c r="G198" i="1"/>
  <c r="H198" i="1"/>
  <c r="E169" i="1"/>
  <c r="F169" i="1"/>
  <c r="G169" i="1"/>
  <c r="H169" i="1"/>
  <c r="D169" i="1"/>
  <c r="E160" i="1"/>
  <c r="F160" i="1"/>
  <c r="G160" i="1"/>
  <c r="H160" i="1"/>
  <c r="D160" i="1"/>
  <c r="E135" i="1"/>
  <c r="F135" i="1"/>
  <c r="G135" i="1"/>
  <c r="H135" i="1"/>
  <c r="D135" i="1"/>
  <c r="E109" i="1"/>
  <c r="F109" i="1"/>
  <c r="G109" i="1"/>
  <c r="H109" i="1"/>
  <c r="D109" i="1"/>
  <c r="E96" i="1"/>
  <c r="F96" i="1"/>
  <c r="G96" i="1"/>
  <c r="H96" i="1"/>
  <c r="D96" i="1"/>
  <c r="E74" i="1"/>
  <c r="F74" i="1"/>
  <c r="G74" i="1"/>
  <c r="H74" i="1"/>
  <c r="D74" i="1"/>
  <c r="E58" i="1"/>
  <c r="F58" i="1"/>
  <c r="G58" i="1"/>
  <c r="H58" i="1"/>
  <c r="D58" i="1"/>
  <c r="E47" i="1"/>
  <c r="F47" i="1"/>
  <c r="G47" i="1"/>
  <c r="H47" i="1"/>
  <c r="D47" i="1"/>
  <c r="E31" i="1"/>
  <c r="F31" i="1"/>
  <c r="G31" i="1"/>
  <c r="H31" i="1"/>
  <c r="D31" i="1"/>
  <c r="E21" i="1"/>
  <c r="F21" i="1"/>
  <c r="G21" i="1"/>
  <c r="H21" i="1"/>
  <c r="D21" i="1"/>
  <c r="E8" i="1"/>
  <c r="F8" i="1"/>
  <c r="G8" i="1"/>
  <c r="H8" i="1"/>
  <c r="D8" i="1"/>
  <c r="I460" i="5" l="1"/>
  <c r="J460" i="5" s="1"/>
  <c r="I461" i="5"/>
  <c r="J461" i="5" s="1"/>
  <c r="I462" i="5"/>
  <c r="J462" i="5" s="1"/>
  <c r="I463" i="5"/>
  <c r="J463" i="5" s="1"/>
  <c r="I464" i="5"/>
  <c r="J464" i="5" s="1"/>
  <c r="I465" i="5"/>
  <c r="J465" i="5" s="1"/>
  <c r="I466" i="5"/>
  <c r="J466" i="5" s="1"/>
  <c r="I467" i="5"/>
  <c r="J467" i="5" s="1"/>
  <c r="I468" i="5"/>
  <c r="J468" i="5" s="1"/>
  <c r="I469" i="5"/>
  <c r="J469" i="5" s="1"/>
  <c r="I470" i="5"/>
  <c r="J470" i="5" s="1"/>
  <c r="I471" i="5"/>
  <c r="J471" i="5" s="1"/>
  <c r="I472" i="5"/>
  <c r="J472" i="5" s="1"/>
  <c r="I473" i="5"/>
  <c r="J473" i="5" s="1"/>
  <c r="I474" i="5"/>
  <c r="J474" i="5" s="1"/>
  <c r="I475" i="5"/>
  <c r="J475" i="5" s="1"/>
  <c r="L476" i="5" s="1"/>
  <c r="I476" i="5"/>
  <c r="J476" i="5" s="1"/>
  <c r="I477" i="5"/>
  <c r="J477" i="5" s="1"/>
  <c r="I478" i="5"/>
  <c r="J478" i="5" s="1"/>
  <c r="I479" i="5"/>
  <c r="J479" i="5" s="1"/>
  <c r="I480" i="5"/>
  <c r="J480" i="5" s="1"/>
  <c r="I481" i="5"/>
  <c r="J481" i="5" s="1"/>
  <c r="I482" i="5"/>
  <c r="J482" i="5" s="1"/>
  <c r="I483" i="5"/>
  <c r="J483" i="5" s="1"/>
  <c r="I484" i="5"/>
  <c r="J484" i="5" s="1"/>
  <c r="I485" i="5"/>
  <c r="J485" i="5" s="1"/>
  <c r="I489" i="5"/>
  <c r="J489" i="5" s="1"/>
  <c r="I490" i="5"/>
  <c r="J490" i="5" s="1"/>
  <c r="I491" i="5"/>
  <c r="J491" i="5" s="1"/>
  <c r="I492" i="5"/>
  <c r="J492" i="5" s="1"/>
  <c r="I493" i="5"/>
  <c r="J493" i="5" s="1"/>
  <c r="I494" i="5"/>
  <c r="J494" i="5" s="1"/>
  <c r="I495" i="5"/>
  <c r="J495" i="5" s="1"/>
  <c r="I496" i="5"/>
  <c r="J496" i="5" s="1"/>
  <c r="I497" i="5"/>
  <c r="J497" i="5" s="1"/>
  <c r="I498" i="5"/>
  <c r="J498" i="5" s="1"/>
  <c r="I499" i="5"/>
  <c r="J499" i="5" s="1"/>
  <c r="I500" i="5"/>
  <c r="J500" i="5" s="1"/>
  <c r="I501" i="5"/>
  <c r="J501" i="5" s="1"/>
  <c r="I502" i="5"/>
  <c r="J502" i="5" s="1"/>
  <c r="I503" i="5"/>
  <c r="J503" i="5" s="1"/>
  <c r="I504" i="5"/>
  <c r="J504" i="5" s="1"/>
  <c r="I532" i="5"/>
  <c r="J532" i="5" s="1"/>
  <c r="I529" i="5"/>
  <c r="J529" i="5" s="1"/>
  <c r="I522" i="5"/>
  <c r="J522" i="5" s="1"/>
  <c r="I505" i="5" l="1"/>
  <c r="J505" i="5" s="1"/>
  <c r="I506" i="5"/>
  <c r="J506" i="5" s="1"/>
  <c r="I525" i="5" l="1"/>
  <c r="J525" i="5" s="1"/>
  <c r="J253" i="2" l="1"/>
  <c r="I253" i="2"/>
  <c r="I276" i="2" l="1"/>
  <c r="J276" i="2"/>
  <c r="H44" i="4"/>
  <c r="I44" i="4" s="1"/>
  <c r="I29" i="5"/>
  <c r="J29" i="5"/>
  <c r="I252" i="5"/>
  <c r="J252" i="5"/>
  <c r="H23" i="4" l="1"/>
  <c r="I23" i="4" s="1"/>
  <c r="J123" i="5"/>
  <c r="J290" i="2"/>
  <c r="I306" i="2" l="1"/>
  <c r="J306" i="2"/>
  <c r="I311" i="2"/>
  <c r="J311" i="2"/>
  <c r="I305" i="2"/>
  <c r="J305" i="2"/>
  <c r="J121" i="5" l="1"/>
  <c r="I26" i="5" l="1"/>
  <c r="J26" i="5"/>
  <c r="J156" i="5"/>
  <c r="J319" i="2" l="1"/>
  <c r="I18" i="5" l="1"/>
  <c r="J18" i="5"/>
  <c r="I187" i="2"/>
  <c r="J187" i="2"/>
  <c r="J339" i="1"/>
  <c r="J297" i="1" l="1"/>
  <c r="I291" i="1"/>
  <c r="J291" i="1" s="1"/>
  <c r="J176" i="2"/>
  <c r="H24" i="4" l="1"/>
  <c r="I24" i="4" s="1"/>
  <c r="J45" i="5" l="1"/>
  <c r="I45" i="5"/>
  <c r="I296" i="2" l="1"/>
  <c r="J296" i="2"/>
  <c r="H20" i="4"/>
  <c r="I20" i="4" s="1"/>
  <c r="I64" i="5"/>
  <c r="J64" i="5"/>
  <c r="I58" i="5"/>
  <c r="J58" i="5"/>
  <c r="J44" i="5"/>
  <c r="J46" i="5"/>
  <c r="I358" i="5"/>
  <c r="I44" i="5"/>
  <c r="H15" i="4"/>
  <c r="I15" i="4" s="1"/>
  <c r="I508" i="2" l="1"/>
  <c r="J508" i="2"/>
  <c r="J47" i="5" l="1"/>
  <c r="I46" i="5"/>
  <c r="J178" i="2" l="1"/>
  <c r="J179" i="2"/>
  <c r="I178" i="2"/>
  <c r="I179" i="2"/>
  <c r="J138" i="5"/>
  <c r="I300" i="1"/>
  <c r="J300" i="1" s="1"/>
  <c r="J57" i="1"/>
  <c r="I57" i="1"/>
  <c r="J9" i="5" l="1"/>
  <c r="I9" i="5"/>
  <c r="H36" i="4" l="1"/>
  <c r="I36" i="4" s="1"/>
  <c r="H37" i="4"/>
  <c r="I37" i="4" s="1"/>
  <c r="H38" i="4"/>
  <c r="I38" i="4" s="1"/>
  <c r="H39" i="4"/>
  <c r="I39" i="4" s="1"/>
  <c r="H40" i="4"/>
  <c r="I40" i="4" s="1"/>
  <c r="H41" i="4"/>
  <c r="I41" i="4" s="1"/>
  <c r="H42" i="4"/>
  <c r="I42" i="4" s="1"/>
  <c r="H43" i="4"/>
  <c r="I43" i="4" s="1"/>
  <c r="H45" i="4"/>
  <c r="I45" i="4" s="1"/>
  <c r="H46" i="4"/>
  <c r="I46" i="4" s="1"/>
  <c r="H47" i="4"/>
  <c r="I47" i="4" s="1"/>
  <c r="H48" i="4"/>
  <c r="I48" i="4" s="1"/>
  <c r="H49" i="4"/>
  <c r="I49" i="4" s="1"/>
  <c r="H50" i="4"/>
  <c r="I50" i="4" s="1"/>
  <c r="H51" i="4"/>
  <c r="I51" i="4" s="1"/>
  <c r="H52" i="4"/>
  <c r="I52" i="4" s="1"/>
  <c r="I53" i="4"/>
  <c r="H54" i="4"/>
  <c r="I54" i="4" s="1"/>
  <c r="H55" i="4"/>
  <c r="I55" i="4" s="1"/>
  <c r="H35" i="4"/>
  <c r="H19" i="4"/>
  <c r="I19" i="4" s="1"/>
  <c r="H8" i="4"/>
  <c r="I8" i="4" s="1"/>
  <c r="H11" i="4"/>
  <c r="I11" i="4" s="1"/>
  <c r="H27" i="4"/>
  <c r="I27" i="4" s="1"/>
  <c r="H3" i="4"/>
  <c r="H21" i="4"/>
  <c r="I21" i="4" s="1"/>
  <c r="H18" i="4"/>
  <c r="I18" i="4" s="1"/>
  <c r="H13" i="4"/>
  <c r="I13" i="4" s="1"/>
  <c r="H17" i="4"/>
  <c r="I17" i="4" s="1"/>
  <c r="H26" i="4"/>
  <c r="I26" i="4" s="1"/>
  <c r="H25" i="4"/>
  <c r="I25" i="4" s="1"/>
  <c r="H5" i="4"/>
  <c r="I5" i="4" s="1"/>
  <c r="H6" i="4"/>
  <c r="I6" i="4" s="1"/>
  <c r="H16" i="4"/>
  <c r="I16" i="4" s="1"/>
  <c r="H22" i="4"/>
  <c r="I22" i="4" s="1"/>
  <c r="H12" i="4"/>
  <c r="I12" i="4" s="1"/>
  <c r="H7" i="4"/>
  <c r="I7" i="4" s="1"/>
  <c r="H4" i="4"/>
  <c r="I4" i="4" s="1"/>
  <c r="H10" i="4"/>
  <c r="I10" i="4" s="1"/>
  <c r="H9" i="4"/>
  <c r="I9" i="4" s="1"/>
  <c r="I195" i="1"/>
  <c r="I196" i="1"/>
  <c r="I193" i="1"/>
  <c r="I198" i="1" l="1"/>
  <c r="H56" i="4"/>
  <c r="I35" i="4"/>
  <c r="I56" i="4" s="1"/>
  <c r="H28" i="4"/>
  <c r="I28" i="4" s="1"/>
  <c r="I3" i="4"/>
  <c r="J56" i="1"/>
  <c r="I56" i="1"/>
  <c r="I8" i="5" l="1"/>
  <c r="J8" i="5"/>
  <c r="J266" i="2"/>
  <c r="I266" i="2"/>
  <c r="I33" i="5" l="1"/>
  <c r="J33" i="5"/>
  <c r="J67" i="1" l="1"/>
  <c r="J393" i="2" l="1"/>
  <c r="J394" i="2"/>
  <c r="I393" i="2"/>
  <c r="I527" i="5" l="1"/>
  <c r="J527" i="5" s="1"/>
  <c r="I518" i="5" l="1"/>
  <c r="J518" i="5" s="1"/>
  <c r="I523" i="5"/>
  <c r="J523" i="5" s="1"/>
  <c r="R486" i="5"/>
  <c r="S486" i="5" s="1"/>
  <c r="I507" i="5"/>
  <c r="J507" i="5" s="1"/>
  <c r="I508" i="5"/>
  <c r="J508" i="5" s="1"/>
  <c r="I517" i="5"/>
  <c r="J517" i="5" s="1"/>
  <c r="I531" i="5"/>
  <c r="J531" i="5" s="1"/>
  <c r="I521" i="5"/>
  <c r="J521" i="5" s="1"/>
  <c r="I37" i="5" l="1"/>
  <c r="I13" i="5"/>
  <c r="I486" i="5" l="1"/>
  <c r="I520" i="5"/>
  <c r="J520" i="5" s="1"/>
  <c r="I530" i="5"/>
  <c r="J530" i="5" s="1"/>
  <c r="J486" i="5" l="1"/>
  <c r="I519" i="5"/>
  <c r="J519" i="5" s="1"/>
  <c r="I423" i="5"/>
  <c r="J423" i="5"/>
  <c r="J186" i="2" l="1"/>
  <c r="I186" i="2"/>
  <c r="J50" i="5" l="1"/>
  <c r="J56" i="5"/>
  <c r="J37" i="5"/>
  <c r="J13" i="5"/>
  <c r="I56" i="5"/>
  <c r="I50" i="5" l="1"/>
  <c r="I528" i="5"/>
  <c r="J528" i="5" s="1"/>
  <c r="I513" i="5"/>
  <c r="I488" i="5"/>
  <c r="J488" i="5" s="1"/>
  <c r="I526" i="5"/>
  <c r="J526" i="5" s="1"/>
  <c r="I524" i="5"/>
  <c r="J524" i="5" s="1"/>
  <c r="I516" i="5"/>
  <c r="J516" i="5" s="1"/>
  <c r="J515" i="5" l="1"/>
  <c r="I181" i="1"/>
  <c r="J181" i="1"/>
  <c r="J313" i="2"/>
  <c r="I287" i="1" l="1"/>
  <c r="J287" i="1" s="1"/>
  <c r="J275" i="2" l="1"/>
  <c r="I275" i="2"/>
  <c r="J59" i="5"/>
  <c r="J12" i="5"/>
  <c r="I12" i="5"/>
  <c r="I59" i="5" l="1"/>
  <c r="J22" i="5"/>
  <c r="J15" i="5"/>
  <c r="J38" i="5"/>
  <c r="J7" i="5"/>
  <c r="J6" i="5"/>
  <c r="I6" i="5"/>
  <c r="I7" i="5"/>
  <c r="J185" i="2"/>
  <c r="I185" i="2"/>
  <c r="I38" i="5"/>
  <c r="I15" i="5"/>
  <c r="I22" i="5"/>
  <c r="I512" i="5" l="1"/>
  <c r="J512" i="5" s="1"/>
  <c r="I459" i="5"/>
  <c r="J459" i="5" s="1"/>
  <c r="I510" i="5"/>
  <c r="J510" i="5" s="1"/>
  <c r="I511" i="5"/>
  <c r="J511" i="5" s="1"/>
  <c r="I509" i="5"/>
  <c r="I487" i="5"/>
  <c r="J487" i="5" s="1"/>
  <c r="I274" i="2"/>
  <c r="J274" i="2"/>
  <c r="J509" i="5" l="1"/>
  <c r="J533" i="5" s="1"/>
  <c r="I533" i="5"/>
  <c r="I273" i="2"/>
  <c r="J273" i="2"/>
  <c r="J184" i="2"/>
  <c r="I184" i="2"/>
  <c r="J300" i="2" l="1"/>
  <c r="I36" i="5"/>
  <c r="I34" i="5"/>
  <c r="J36" i="5"/>
  <c r="J34" i="5"/>
  <c r="J112" i="2" l="1"/>
  <c r="J113" i="2"/>
  <c r="I112" i="2"/>
  <c r="I113" i="2"/>
  <c r="J629" i="2" l="1"/>
  <c r="J195" i="1" l="1"/>
  <c r="J196" i="1"/>
  <c r="J183" i="2" l="1"/>
  <c r="I183" i="2"/>
  <c r="J181" i="2"/>
  <c r="J182" i="2"/>
  <c r="I182" i="2"/>
  <c r="I272" i="2"/>
  <c r="J272" i="2"/>
  <c r="I271" i="2"/>
  <c r="J271" i="2"/>
  <c r="I181" i="2"/>
  <c r="J180" i="2" l="1"/>
  <c r="I141" i="1" l="1"/>
  <c r="J141" i="1" s="1"/>
  <c r="I142" i="1"/>
  <c r="J142" i="1" s="1"/>
  <c r="I143" i="1"/>
  <c r="J143" i="1" s="1"/>
  <c r="I144" i="1"/>
  <c r="J144" i="1" s="1"/>
  <c r="I145" i="1"/>
  <c r="J145" i="1" s="1"/>
  <c r="I140" i="1"/>
  <c r="J140" i="1" s="1"/>
  <c r="I180" i="2" l="1"/>
  <c r="I111" i="2" l="1"/>
  <c r="J111" i="2"/>
  <c r="J191" i="5"/>
  <c r="I294" i="1" l="1"/>
  <c r="J294" i="1" s="1"/>
  <c r="I305" i="1"/>
  <c r="J305" i="1" s="1"/>
  <c r="I298" i="1"/>
  <c r="J298" i="1" s="1"/>
  <c r="I296" i="1"/>
  <c r="J296" i="1" s="1"/>
  <c r="I292" i="1"/>
  <c r="J292" i="1" s="1"/>
  <c r="I304" i="1"/>
  <c r="J304" i="1" s="1"/>
  <c r="I295" i="1"/>
  <c r="J295" i="1" s="1"/>
  <c r="I299" i="1"/>
  <c r="J299" i="1" s="1"/>
  <c r="I303" i="1"/>
  <c r="J303" i="1" s="1"/>
  <c r="I289" i="1"/>
  <c r="J289" i="1" s="1"/>
  <c r="I286" i="1"/>
  <c r="I302" i="1"/>
  <c r="J302" i="1" s="1"/>
  <c r="I301" i="1"/>
  <c r="J301" i="1" s="1"/>
  <c r="I293" i="1"/>
  <c r="J293" i="1" s="1"/>
  <c r="I288" i="1"/>
  <c r="J288" i="1" s="1"/>
  <c r="J286" i="1" l="1"/>
  <c r="J306" i="1" s="1"/>
  <c r="I306" i="1"/>
  <c r="J630" i="2"/>
  <c r="J631" i="2" s="1"/>
  <c r="I630" i="2"/>
  <c r="I631" i="2" s="1"/>
  <c r="J177" i="2"/>
  <c r="I177" i="2"/>
  <c r="J15" i="1" l="1"/>
  <c r="J21" i="5"/>
  <c r="I21" i="5"/>
  <c r="J30" i="5"/>
  <c r="I30" i="5"/>
  <c r="J40" i="5"/>
  <c r="I40" i="5"/>
  <c r="J19" i="5"/>
  <c r="I19" i="5"/>
  <c r="J31" i="5"/>
  <c r="I31" i="5"/>
  <c r="J5" i="5"/>
  <c r="I5" i="5"/>
  <c r="J27" i="5"/>
  <c r="I27" i="5"/>
  <c r="J11" i="5"/>
  <c r="I11" i="5"/>
  <c r="J62" i="5"/>
  <c r="I62" i="5"/>
  <c r="J20" i="5"/>
  <c r="I20" i="5"/>
  <c r="J32" i="5"/>
  <c r="I32" i="5"/>
  <c r="J51" i="5"/>
  <c r="I51" i="5"/>
  <c r="J53" i="5"/>
  <c r="I53" i="5"/>
  <c r="I47" i="5"/>
  <c r="J10" i="5"/>
  <c r="I10" i="5"/>
  <c r="J55" i="5"/>
  <c r="I55" i="5"/>
  <c r="J52" i="5"/>
  <c r="I52" i="5"/>
  <c r="J61" i="5"/>
  <c r="I61" i="5"/>
  <c r="J65" i="5"/>
  <c r="I65" i="5"/>
  <c r="J28" i="5"/>
  <c r="I28" i="5"/>
  <c r="J67" i="5"/>
  <c r="I67" i="5"/>
  <c r="J16" i="5"/>
  <c r="I16" i="5"/>
  <c r="J14" i="5"/>
  <c r="I14" i="5"/>
  <c r="J66" i="5"/>
  <c r="I66" i="5"/>
  <c r="J48" i="5"/>
  <c r="I48" i="5"/>
  <c r="J25" i="5"/>
  <c r="I25" i="5"/>
  <c r="J17" i="5"/>
  <c r="I17" i="5"/>
  <c r="J35" i="5"/>
  <c r="I35" i="5"/>
  <c r="J39" i="5"/>
  <c r="I39" i="5"/>
  <c r="J4" i="5"/>
  <c r="I4" i="5"/>
  <c r="J54" i="5"/>
  <c r="I54" i="5"/>
  <c r="J41" i="5"/>
  <c r="I41" i="5"/>
  <c r="J57" i="5"/>
  <c r="I57" i="5"/>
  <c r="J42" i="5"/>
  <c r="I42" i="5"/>
  <c r="J43" i="5"/>
  <c r="I43" i="5"/>
  <c r="J60" i="5"/>
  <c r="I60" i="5"/>
  <c r="I68" i="5" l="1"/>
  <c r="J68" i="5"/>
  <c r="I10" i="3"/>
  <c r="I9" i="3"/>
  <c r="I8" i="3"/>
  <c r="I7" i="3"/>
  <c r="I6" i="3"/>
  <c r="I5" i="3"/>
  <c r="I4" i="3"/>
  <c r="I3" i="3"/>
  <c r="I79" i="4"/>
  <c r="J592" i="2"/>
  <c r="I592" i="2"/>
  <c r="J591" i="2"/>
  <c r="I591" i="2"/>
  <c r="J590" i="2"/>
  <c r="I590" i="2"/>
  <c r="J589" i="2"/>
  <c r="I589" i="2"/>
  <c r="J614" i="2"/>
  <c r="I614" i="2"/>
  <c r="J613" i="2"/>
  <c r="I613" i="2"/>
  <c r="J612" i="2"/>
  <c r="J615" i="2" s="1"/>
  <c r="I612" i="2"/>
  <c r="J598" i="2"/>
  <c r="I598" i="2"/>
  <c r="J567" i="2"/>
  <c r="I567" i="2"/>
  <c r="J566" i="2"/>
  <c r="I566" i="2"/>
  <c r="J565" i="2"/>
  <c r="I565" i="2"/>
  <c r="J507" i="2"/>
  <c r="I507" i="2"/>
  <c r="J506" i="2"/>
  <c r="I506" i="2"/>
  <c r="J493" i="2"/>
  <c r="I493" i="2"/>
  <c r="J492" i="2"/>
  <c r="I492" i="2"/>
  <c r="J471" i="2"/>
  <c r="I471" i="2"/>
  <c r="J470" i="2"/>
  <c r="I470" i="2"/>
  <c r="J110" i="2"/>
  <c r="I110" i="2"/>
  <c r="J109" i="2"/>
  <c r="I109" i="2"/>
  <c r="J67" i="2"/>
  <c r="I67" i="2"/>
  <c r="J66" i="2"/>
  <c r="I66" i="2"/>
  <c r="J65" i="2"/>
  <c r="I65" i="2"/>
  <c r="J64" i="2"/>
  <c r="I64" i="2"/>
  <c r="J10" i="2"/>
  <c r="I10" i="2"/>
  <c r="J9" i="2"/>
  <c r="I9" i="2"/>
  <c r="J8" i="2"/>
  <c r="I8" i="2"/>
  <c r="J7" i="2"/>
  <c r="I7" i="2"/>
  <c r="J6" i="2"/>
  <c r="I6" i="2"/>
  <c r="J5" i="2"/>
  <c r="I5" i="2"/>
  <c r="J318" i="1"/>
  <c r="J238" i="1"/>
  <c r="I238" i="1"/>
  <c r="J237" i="1"/>
  <c r="I237" i="1"/>
  <c r="J352" i="1"/>
  <c r="J351" i="1"/>
  <c r="I351" i="1"/>
  <c r="J338" i="1"/>
  <c r="J337" i="1"/>
  <c r="J340" i="1" s="1"/>
  <c r="I337" i="1"/>
  <c r="I340" i="1" s="1"/>
  <c r="J274" i="1"/>
  <c r="I274" i="1"/>
  <c r="J252" i="1"/>
  <c r="I252" i="1"/>
  <c r="J251" i="1"/>
  <c r="I251" i="1"/>
  <c r="J225" i="1"/>
  <c r="I225" i="1"/>
  <c r="J193" i="1"/>
  <c r="J198" i="1" s="1"/>
  <c r="J55" i="1"/>
  <c r="I55" i="1"/>
  <c r="J54" i="1"/>
  <c r="I54" i="1"/>
  <c r="J53" i="1"/>
  <c r="I53" i="1"/>
  <c r="J52" i="1"/>
  <c r="I52" i="1"/>
  <c r="J51" i="1"/>
  <c r="I51" i="1"/>
  <c r="J7" i="1"/>
  <c r="I7" i="1"/>
  <c r="J6" i="1"/>
  <c r="I6" i="1"/>
  <c r="J5" i="1"/>
  <c r="I5" i="1"/>
  <c r="J4" i="1"/>
  <c r="I4" i="1"/>
  <c r="J3" i="1"/>
  <c r="I3" i="1"/>
  <c r="I615" i="2" l="1"/>
  <c r="J8" i="1"/>
  <c r="I58" i="1"/>
  <c r="J58" i="1"/>
  <c r="I8" i="1"/>
  <c r="I472" i="2"/>
  <c r="J472" i="2"/>
  <c r="J509" i="2"/>
  <c r="I509" i="2"/>
  <c r="I114" i="2"/>
  <c r="I494" i="2"/>
  <c r="I593" i="2"/>
  <c r="J114" i="2"/>
  <c r="J494" i="2"/>
  <c r="J593" i="2"/>
  <c r="I568" i="2"/>
  <c r="J568" i="2"/>
  <c r="I68" i="2"/>
  <c r="I11" i="2"/>
  <c r="J68" i="2"/>
  <c r="J11" i="2"/>
  <c r="J428" i="2"/>
  <c r="J429" i="2"/>
  <c r="I312" i="5" l="1"/>
  <c r="J312" i="5"/>
  <c r="J190" i="5" l="1"/>
  <c r="I623" i="2" l="1"/>
  <c r="J345" i="1" l="1"/>
  <c r="J344" i="1"/>
  <c r="J346" i="1" s="1"/>
  <c r="I344" i="1"/>
  <c r="I346" i="1" s="1"/>
  <c r="I30" i="3" l="1"/>
  <c r="I31" i="3"/>
  <c r="I32" i="3"/>
  <c r="I98" i="3"/>
  <c r="J329" i="1"/>
  <c r="J330" i="1"/>
  <c r="J331" i="1"/>
  <c r="I329" i="1"/>
  <c r="I330" i="1"/>
  <c r="I331" i="1"/>
  <c r="J20" i="1"/>
  <c r="I20" i="1"/>
  <c r="J44" i="2"/>
  <c r="J45" i="2"/>
  <c r="J46" i="2"/>
  <c r="J581" i="2"/>
  <c r="I581" i="2"/>
  <c r="I463" i="2"/>
  <c r="I465" i="2" s="1"/>
  <c r="J378" i="2"/>
  <c r="J379" i="2"/>
  <c r="J380" i="2"/>
  <c r="J381" i="2"/>
  <c r="J382" i="2"/>
  <c r="J383" i="2"/>
  <c r="J237" i="2"/>
  <c r="J238" i="2"/>
  <c r="J159" i="2"/>
  <c r="J160" i="2"/>
  <c r="I159" i="2"/>
  <c r="I160" i="2"/>
  <c r="J358" i="1" l="1"/>
  <c r="J574" i="2"/>
  <c r="J575" i="2"/>
  <c r="J576" i="2"/>
  <c r="J578" i="2"/>
  <c r="J579" i="2"/>
  <c r="J580" i="2"/>
  <c r="J547" i="2"/>
  <c r="J548" i="2"/>
  <c r="J549" i="2"/>
  <c r="I547" i="2"/>
  <c r="I548" i="2"/>
  <c r="I549" i="2"/>
  <c r="J538" i="2"/>
  <c r="J539" i="2"/>
  <c r="J408" i="2"/>
  <c r="J409" i="2"/>
  <c r="J410" i="2"/>
  <c r="I408" i="2"/>
  <c r="I409" i="2"/>
  <c r="I410" i="2"/>
  <c r="J390" i="2"/>
  <c r="J391" i="2"/>
  <c r="J392" i="2"/>
  <c r="J395" i="2"/>
  <c r="J396" i="2"/>
  <c r="J397" i="2"/>
  <c r="J399" i="2"/>
  <c r="I390" i="2"/>
  <c r="I391" i="2"/>
  <c r="I392" i="2"/>
  <c r="I394" i="2"/>
  <c r="I395" i="2"/>
  <c r="I396" i="2"/>
  <c r="I397" i="2"/>
  <c r="I399" i="2"/>
  <c r="I389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282" i="2"/>
  <c r="I283" i="2"/>
  <c r="I284" i="2"/>
  <c r="I285" i="2"/>
  <c r="I286" i="2"/>
  <c r="I287" i="2"/>
  <c r="I288" i="2"/>
  <c r="I289" i="2"/>
  <c r="I291" i="2"/>
  <c r="I292" i="2"/>
  <c r="I293" i="2"/>
  <c r="I294" i="2"/>
  <c r="I295" i="2"/>
  <c r="I297" i="2"/>
  <c r="I298" i="2"/>
  <c r="I299" i="2"/>
  <c r="I301" i="2"/>
  <c r="I302" i="2"/>
  <c r="I303" i="2"/>
  <c r="I304" i="2"/>
  <c r="I307" i="2"/>
  <c r="I308" i="2"/>
  <c r="I309" i="2"/>
  <c r="I310" i="2"/>
  <c r="I312" i="2"/>
  <c r="I314" i="2"/>
  <c r="I315" i="2"/>
  <c r="I316" i="2"/>
  <c r="I317" i="2"/>
  <c r="I318" i="2"/>
  <c r="I320" i="2"/>
  <c r="I321" i="2"/>
  <c r="I322" i="2"/>
  <c r="J268" i="2"/>
  <c r="J269" i="2"/>
  <c r="J270" i="2"/>
  <c r="I268" i="2"/>
  <c r="I269" i="2"/>
  <c r="I270" i="2"/>
  <c r="J245" i="2"/>
  <c r="J246" i="2"/>
  <c r="J247" i="2"/>
  <c r="J248" i="2"/>
  <c r="J249" i="2"/>
  <c r="J250" i="2"/>
  <c r="J251" i="2"/>
  <c r="J252" i="2"/>
  <c r="J254" i="2"/>
  <c r="J255" i="2"/>
  <c r="J256" i="2"/>
  <c r="J257" i="2"/>
  <c r="J258" i="2"/>
  <c r="J259" i="2"/>
  <c r="I245" i="2"/>
  <c r="I246" i="2"/>
  <c r="I247" i="2"/>
  <c r="I248" i="2"/>
  <c r="I249" i="2"/>
  <c r="I250" i="2"/>
  <c r="I251" i="2"/>
  <c r="I252" i="2"/>
  <c r="I254" i="2"/>
  <c r="I255" i="2"/>
  <c r="I256" i="2"/>
  <c r="I257" i="2"/>
  <c r="I258" i="2"/>
  <c r="I259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J166" i="2"/>
  <c r="I166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577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86" i="2"/>
  <c r="I87" i="2"/>
  <c r="I88" i="2"/>
  <c r="I89" i="2"/>
  <c r="I90" i="2"/>
  <c r="I91" i="2"/>
  <c r="I92" i="2"/>
  <c r="I93" i="2"/>
  <c r="I94" i="2"/>
  <c r="I95" i="2"/>
  <c r="I54" i="2"/>
  <c r="I55" i="2"/>
  <c r="I56" i="2"/>
  <c r="I57" i="2"/>
  <c r="I52" i="2"/>
  <c r="I53" i="2"/>
  <c r="I38" i="2"/>
  <c r="I39" i="2"/>
  <c r="I40" i="2"/>
  <c r="I41" i="2"/>
  <c r="I42" i="2"/>
  <c r="I43" i="2"/>
  <c r="I44" i="2"/>
  <c r="I45" i="2"/>
  <c r="I4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539" i="5"/>
  <c r="I540" i="5"/>
  <c r="I541" i="5"/>
  <c r="I542" i="5"/>
  <c r="I543" i="5"/>
  <c r="I544" i="5"/>
  <c r="I545" i="5"/>
  <c r="I547" i="5"/>
  <c r="I548" i="5"/>
  <c r="I549" i="5"/>
  <c r="I550" i="5"/>
  <c r="I554" i="5"/>
  <c r="I555" i="5"/>
  <c r="I556" i="5"/>
  <c r="I557" i="5"/>
  <c r="I558" i="5"/>
  <c r="I561" i="5"/>
  <c r="I562" i="5"/>
  <c r="I563" i="5"/>
  <c r="I564" i="5"/>
  <c r="I566" i="5"/>
  <c r="I567" i="5"/>
  <c r="I570" i="5"/>
  <c r="I571" i="5"/>
  <c r="I572" i="5"/>
  <c r="I577" i="5"/>
  <c r="I578" i="5"/>
  <c r="I579" i="5"/>
  <c r="I584" i="5"/>
  <c r="I585" i="5"/>
  <c r="I586" i="5"/>
  <c r="I587" i="5"/>
  <c r="I588" i="5"/>
  <c r="I591" i="5"/>
  <c r="I592" i="5"/>
  <c r="I594" i="5"/>
  <c r="I596" i="5"/>
  <c r="I598" i="5"/>
  <c r="I546" i="5"/>
  <c r="I551" i="5"/>
  <c r="I552" i="5"/>
  <c r="I553" i="5"/>
  <c r="I559" i="5"/>
  <c r="I560" i="5"/>
  <c r="I565" i="5"/>
  <c r="I568" i="5"/>
  <c r="I569" i="5"/>
  <c r="I573" i="5"/>
  <c r="I574" i="5"/>
  <c r="I575" i="5"/>
  <c r="I576" i="5"/>
  <c r="I580" i="5"/>
  <c r="I581" i="5"/>
  <c r="I582" i="5"/>
  <c r="I583" i="5"/>
  <c r="I589" i="5"/>
  <c r="I590" i="5"/>
  <c r="I593" i="5"/>
  <c r="I595" i="5"/>
  <c r="I597" i="5"/>
  <c r="I449" i="5"/>
  <c r="I450" i="5"/>
  <c r="I451" i="5"/>
  <c r="I452" i="5"/>
  <c r="I430" i="5"/>
  <c r="I431" i="5"/>
  <c r="I433" i="5"/>
  <c r="I434" i="5"/>
  <c r="I435" i="5"/>
  <c r="I436" i="5"/>
  <c r="I438" i="5"/>
  <c r="I439" i="5"/>
  <c r="I440" i="5"/>
  <c r="I441" i="5"/>
  <c r="I442" i="5"/>
  <c r="I443" i="5"/>
  <c r="I432" i="5"/>
  <c r="I437" i="5"/>
  <c r="I367" i="5"/>
  <c r="I368" i="5"/>
  <c r="I369" i="5"/>
  <c r="I370" i="5"/>
  <c r="I372" i="5"/>
  <c r="I373" i="5"/>
  <c r="I374" i="5"/>
  <c r="I375" i="5"/>
  <c r="I376" i="5"/>
  <c r="I378" i="5"/>
  <c r="I379" i="5"/>
  <c r="I382" i="5"/>
  <c r="I383" i="5"/>
  <c r="I384" i="5"/>
  <c r="I385" i="5"/>
  <c r="I386" i="5"/>
  <c r="I387" i="5"/>
  <c r="I388" i="5"/>
  <c r="I389" i="5"/>
  <c r="I380" i="5"/>
  <c r="I381" i="5"/>
  <c r="I377" i="5"/>
  <c r="I371" i="5"/>
  <c r="I397" i="5"/>
  <c r="I398" i="5"/>
  <c r="I401" i="5"/>
  <c r="I402" i="5"/>
  <c r="I403" i="5"/>
  <c r="I404" i="5"/>
  <c r="I405" i="5"/>
  <c r="I406" i="5"/>
  <c r="I408" i="5"/>
  <c r="I409" i="5"/>
  <c r="I410" i="5"/>
  <c r="I411" i="5"/>
  <c r="I413" i="5"/>
  <c r="I400" i="5"/>
  <c r="I399" i="5"/>
  <c r="I407" i="5"/>
  <c r="I412" i="5"/>
  <c r="I395" i="5"/>
  <c r="I352" i="5"/>
  <c r="I353" i="5"/>
  <c r="I354" i="5"/>
  <c r="I355" i="5"/>
  <c r="I356" i="5"/>
  <c r="I357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1" i="5"/>
  <c r="J148" i="5"/>
  <c r="I402" i="2" l="1"/>
  <c r="I59" i="2"/>
  <c r="J521" i="2"/>
  <c r="J127" i="5"/>
  <c r="J128" i="5"/>
  <c r="J129" i="5"/>
  <c r="J130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5" i="5"/>
  <c r="J116" i="5"/>
  <c r="J117" i="5"/>
  <c r="J118" i="5"/>
  <c r="J119" i="5"/>
  <c r="J120" i="5"/>
  <c r="J124" i="5"/>
  <c r="J125" i="5"/>
  <c r="J131" i="5"/>
  <c r="J132" i="5"/>
  <c r="J133" i="5"/>
  <c r="J134" i="5"/>
  <c r="J135" i="5"/>
  <c r="J136" i="5"/>
  <c r="J137" i="5"/>
  <c r="J139" i="5"/>
  <c r="J140" i="5"/>
  <c r="J141" i="5"/>
  <c r="J142" i="5"/>
  <c r="J146" i="5"/>
  <c r="J147" i="5"/>
  <c r="J149" i="5"/>
  <c r="J150" i="5"/>
  <c r="J151" i="5"/>
  <c r="J152" i="5"/>
  <c r="J153" i="5"/>
  <c r="J155" i="5"/>
  <c r="J157" i="5"/>
  <c r="J158" i="5"/>
  <c r="J159" i="5"/>
  <c r="J160" i="5"/>
  <c r="J161" i="5"/>
  <c r="J163" i="5"/>
  <c r="J164" i="5"/>
  <c r="J165" i="5"/>
  <c r="J166" i="5"/>
  <c r="J167" i="5"/>
  <c r="J169" i="5"/>
  <c r="J170" i="5"/>
  <c r="J171" i="5"/>
  <c r="J173" i="5"/>
  <c r="J174" i="5"/>
  <c r="J175" i="5"/>
  <c r="J176" i="5"/>
  <c r="J177" i="5"/>
  <c r="J179" i="5"/>
  <c r="J180" i="5"/>
  <c r="J181" i="5"/>
  <c r="J182" i="5"/>
  <c r="J183" i="5"/>
  <c r="J185" i="5"/>
  <c r="J186" i="5"/>
  <c r="J187" i="5"/>
  <c r="J189" i="5"/>
  <c r="J154" i="5"/>
  <c r="J114" i="5"/>
  <c r="J143" i="5"/>
  <c r="J126" i="5"/>
  <c r="J162" i="5"/>
  <c r="J168" i="5"/>
  <c r="J188" i="5"/>
  <c r="J178" i="5"/>
  <c r="J145" i="5"/>
  <c r="J122" i="5"/>
  <c r="D751" i="5" l="1"/>
  <c r="E751" i="5" l="1"/>
  <c r="F751" i="5"/>
  <c r="G751" i="5"/>
  <c r="H751" i="5"/>
  <c r="J211" i="2" l="1"/>
  <c r="I211" i="2"/>
  <c r="J93" i="1"/>
  <c r="J94" i="1"/>
  <c r="J95" i="1"/>
  <c r="I94" i="1"/>
  <c r="I95" i="1"/>
  <c r="J613" i="5" l="1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I605" i="5"/>
  <c r="J606" i="5"/>
  <c r="J607" i="5"/>
  <c r="J608" i="5"/>
  <c r="J609" i="5"/>
  <c r="J610" i="5"/>
  <c r="J611" i="5"/>
  <c r="J612" i="5"/>
  <c r="I537" i="5"/>
  <c r="I538" i="5"/>
  <c r="I453" i="5"/>
  <c r="I454" i="5" s="1"/>
  <c r="J432" i="5"/>
  <c r="J437" i="5"/>
  <c r="I429" i="5"/>
  <c r="I444" i="5" s="1"/>
  <c r="I421" i="5"/>
  <c r="I422" i="5"/>
  <c r="I420" i="5"/>
  <c r="I396" i="5"/>
  <c r="I414" i="5" s="1"/>
  <c r="I366" i="5"/>
  <c r="I390" i="5" s="1"/>
  <c r="I351" i="5"/>
  <c r="I361" i="5" s="1"/>
  <c r="I318" i="5"/>
  <c r="I346" i="5" s="1"/>
  <c r="I196" i="5"/>
  <c r="I313" i="5" s="1"/>
  <c r="I73" i="5"/>
  <c r="I192" i="5" s="1"/>
  <c r="I645" i="2"/>
  <c r="I648" i="2" s="1"/>
  <c r="I639" i="2"/>
  <c r="I621" i="2"/>
  <c r="I622" i="2"/>
  <c r="I620" i="2"/>
  <c r="I604" i="2"/>
  <c r="I607" i="2" s="1"/>
  <c r="I574" i="2"/>
  <c r="I575" i="2"/>
  <c r="I576" i="2"/>
  <c r="I578" i="2"/>
  <c r="I579" i="2"/>
  <c r="I580" i="2"/>
  <c r="I573" i="2"/>
  <c r="I559" i="2"/>
  <c r="I558" i="2"/>
  <c r="I546" i="2"/>
  <c r="I551" i="2" s="1"/>
  <c r="I530" i="2"/>
  <c r="I529" i="2"/>
  <c r="I515" i="2"/>
  <c r="I514" i="2"/>
  <c r="I500" i="2"/>
  <c r="I499" i="2"/>
  <c r="I501" i="2" s="1"/>
  <c r="I486" i="2"/>
  <c r="I452" i="2"/>
  <c r="I453" i="2"/>
  <c r="I454" i="2"/>
  <c r="I455" i="2"/>
  <c r="I456" i="2"/>
  <c r="I449" i="2"/>
  <c r="I450" i="2"/>
  <c r="I451" i="2"/>
  <c r="I437" i="2"/>
  <c r="I438" i="2"/>
  <c r="I439" i="2"/>
  <c r="I440" i="2"/>
  <c r="I441" i="2"/>
  <c r="I442" i="2"/>
  <c r="I443" i="2"/>
  <c r="I436" i="2"/>
  <c r="I417" i="2"/>
  <c r="I418" i="2"/>
  <c r="I419" i="2"/>
  <c r="I420" i="2"/>
  <c r="I421" i="2"/>
  <c r="I422" i="2"/>
  <c r="I423" i="2"/>
  <c r="I424" i="2"/>
  <c r="I425" i="2"/>
  <c r="I426" i="2"/>
  <c r="I427" i="2"/>
  <c r="I416" i="2"/>
  <c r="I407" i="2"/>
  <c r="I411" i="2" s="1"/>
  <c r="J377" i="2"/>
  <c r="I328" i="2"/>
  <c r="I384" i="2" s="1"/>
  <c r="I281" i="2"/>
  <c r="I323" i="2" s="1"/>
  <c r="I267" i="2"/>
  <c r="I277" i="2" s="1"/>
  <c r="I244" i="2"/>
  <c r="I261" i="2" s="1"/>
  <c r="I217" i="2"/>
  <c r="I239" i="2" s="1"/>
  <c r="I194" i="2"/>
  <c r="I212" i="2" s="1"/>
  <c r="I175" i="2"/>
  <c r="I174" i="2"/>
  <c r="I167" i="2"/>
  <c r="I168" i="2" s="1"/>
  <c r="I145" i="2"/>
  <c r="I161" i="2" s="1"/>
  <c r="J139" i="2"/>
  <c r="I122" i="2"/>
  <c r="I123" i="2"/>
  <c r="I124" i="2"/>
  <c r="I120" i="2"/>
  <c r="I121" i="2"/>
  <c r="I102" i="2"/>
  <c r="I103" i="2"/>
  <c r="I101" i="2"/>
  <c r="J95" i="2"/>
  <c r="I85" i="2"/>
  <c r="I96" i="2" s="1"/>
  <c r="I74" i="2"/>
  <c r="I75" i="2"/>
  <c r="I76" i="2"/>
  <c r="I77" i="2"/>
  <c r="I78" i="2"/>
  <c r="I79" i="2"/>
  <c r="I73" i="2"/>
  <c r="I37" i="2"/>
  <c r="I47" i="2" s="1"/>
  <c r="J31" i="2"/>
  <c r="I16" i="2"/>
  <c r="I32" i="2" s="1"/>
  <c r="I246" i="1"/>
  <c r="I245" i="1"/>
  <c r="I247" i="1" s="1"/>
  <c r="I357" i="1"/>
  <c r="I360" i="1" s="1"/>
  <c r="I312" i="1"/>
  <c r="I313" i="1"/>
  <c r="I314" i="1"/>
  <c r="I315" i="1"/>
  <c r="I316" i="1"/>
  <c r="I359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11" i="1"/>
  <c r="I280" i="1"/>
  <c r="I268" i="1"/>
  <c r="J260" i="1"/>
  <c r="J261" i="1"/>
  <c r="J262" i="1"/>
  <c r="I259" i="1"/>
  <c r="I260" i="1"/>
  <c r="I261" i="1"/>
  <c r="I262" i="1"/>
  <c r="I258" i="1"/>
  <c r="I231" i="1"/>
  <c r="J213" i="1"/>
  <c r="I213" i="1"/>
  <c r="I212" i="1"/>
  <c r="I214" i="1" s="1"/>
  <c r="I206" i="1"/>
  <c r="I205" i="1"/>
  <c r="I207" i="1" s="1"/>
  <c r="I425" i="5" l="1"/>
  <c r="I599" i="5"/>
  <c r="I516" i="2"/>
  <c r="I263" i="1"/>
  <c r="I332" i="1"/>
  <c r="I624" i="2"/>
  <c r="I190" i="2"/>
  <c r="I582" i="2"/>
  <c r="I560" i="2"/>
  <c r="I531" i="2"/>
  <c r="I444" i="2"/>
  <c r="I80" i="2"/>
  <c r="I432" i="2"/>
  <c r="I140" i="2"/>
  <c r="I104" i="2"/>
  <c r="J691" i="5"/>
  <c r="I751" i="5"/>
  <c r="J605" i="5"/>
  <c r="I187" i="1"/>
  <c r="I180" i="1"/>
  <c r="I166" i="1"/>
  <c r="I167" i="1"/>
  <c r="I168" i="1"/>
  <c r="I165" i="1"/>
  <c r="J158" i="1"/>
  <c r="J159" i="1"/>
  <c r="I157" i="1"/>
  <c r="I158" i="1"/>
  <c r="I159" i="1"/>
  <c r="I132" i="1"/>
  <c r="I133" i="1"/>
  <c r="I134" i="1"/>
  <c r="I131" i="1"/>
  <c r="I135" i="1" s="1"/>
  <c r="I115" i="1"/>
  <c r="I116" i="1"/>
  <c r="I117" i="1"/>
  <c r="I118" i="1"/>
  <c r="I119" i="1"/>
  <c r="I114" i="1"/>
  <c r="I102" i="1"/>
  <c r="I103" i="1"/>
  <c r="I104" i="1"/>
  <c r="I105" i="1"/>
  <c r="I106" i="1"/>
  <c r="I107" i="1"/>
  <c r="I108" i="1"/>
  <c r="I101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79" i="1"/>
  <c r="I64" i="1"/>
  <c r="I65" i="1"/>
  <c r="I66" i="1"/>
  <c r="I68" i="1"/>
  <c r="I69" i="1"/>
  <c r="I70" i="1"/>
  <c r="I72" i="1"/>
  <c r="I73" i="1"/>
  <c r="I63" i="1"/>
  <c r="I39" i="1"/>
  <c r="I40" i="1"/>
  <c r="I41" i="1"/>
  <c r="I42" i="1"/>
  <c r="I44" i="1"/>
  <c r="I45" i="1"/>
  <c r="I46" i="1"/>
  <c r="I38" i="1"/>
  <c r="I27" i="1"/>
  <c r="I28" i="1"/>
  <c r="I29" i="1"/>
  <c r="I30" i="1"/>
  <c r="I26" i="1"/>
  <c r="I14" i="1"/>
  <c r="I15" i="1"/>
  <c r="I16" i="1"/>
  <c r="I17" i="1"/>
  <c r="I18" i="1"/>
  <c r="I19" i="1"/>
  <c r="I13" i="1"/>
  <c r="I169" i="1" l="1"/>
  <c r="I21" i="1"/>
  <c r="I96" i="1"/>
  <c r="I74" i="1"/>
  <c r="I47" i="1"/>
  <c r="I109" i="1"/>
  <c r="I31" i="1"/>
  <c r="I160" i="1"/>
  <c r="J751" i="5"/>
  <c r="J311" i="5" l="1"/>
  <c r="J303" i="5"/>
  <c r="J304" i="5"/>
  <c r="J305" i="5"/>
  <c r="J306" i="5"/>
  <c r="J307" i="5"/>
  <c r="J308" i="5"/>
  <c r="J309" i="5"/>
  <c r="J486" i="2"/>
  <c r="J322" i="2"/>
  <c r="J245" i="1" l="1"/>
  <c r="J400" i="5" l="1"/>
  <c r="J399" i="5"/>
  <c r="J407" i="5"/>
  <c r="J412" i="5"/>
  <c r="J236" i="2" l="1"/>
  <c r="J167" i="1" l="1"/>
  <c r="J168" i="1"/>
  <c r="J377" i="5"/>
  <c r="J371" i="5"/>
  <c r="J451" i="5" l="1"/>
  <c r="J452" i="5"/>
  <c r="J453" i="5"/>
  <c r="J324" i="1"/>
  <c r="J325" i="1"/>
  <c r="J326" i="1"/>
  <c r="J327" i="1"/>
  <c r="J328" i="1"/>
  <c r="J94" i="2" l="1"/>
  <c r="J108" i="1"/>
  <c r="J301" i="5"/>
  <c r="J302" i="5"/>
  <c r="J204" i="1" l="1"/>
  <c r="J205" i="1"/>
  <c r="J206" i="1"/>
  <c r="J73" i="1"/>
  <c r="J300" i="5" l="1"/>
  <c r="J645" i="2" l="1"/>
  <c r="J648" i="2" s="1"/>
  <c r="J321" i="2" l="1"/>
  <c r="J427" i="2"/>
  <c r="J116" i="1" l="1"/>
  <c r="J117" i="1"/>
  <c r="J118" i="1"/>
  <c r="J119" i="1"/>
  <c r="J39" i="1"/>
  <c r="J40" i="1"/>
  <c r="J41" i="1"/>
  <c r="J42" i="1"/>
  <c r="J44" i="1"/>
  <c r="J45" i="1"/>
  <c r="J46" i="1"/>
  <c r="J19" i="1"/>
  <c r="J27" i="1"/>
  <c r="J28" i="1"/>
  <c r="J29" i="1"/>
  <c r="J30" i="1"/>
  <c r="J422" i="2"/>
  <c r="J423" i="2"/>
  <c r="J424" i="2"/>
  <c r="J425" i="2"/>
  <c r="J426" i="2"/>
  <c r="J63" i="1" l="1"/>
  <c r="J64" i="1"/>
  <c r="J65" i="1"/>
  <c r="J66" i="1"/>
  <c r="J68" i="1"/>
  <c r="J69" i="1"/>
  <c r="J70" i="1"/>
  <c r="J72" i="1"/>
  <c r="J74" i="1" l="1"/>
  <c r="J81" i="1"/>
  <c r="J82" i="1"/>
  <c r="J83" i="1"/>
  <c r="J84" i="1"/>
  <c r="J85" i="1"/>
  <c r="J86" i="1"/>
  <c r="J87" i="1"/>
  <c r="J88" i="1"/>
  <c r="J89" i="1"/>
  <c r="J90" i="1"/>
  <c r="J91" i="1"/>
  <c r="J92" i="1"/>
  <c r="J80" i="1"/>
  <c r="J102" i="1"/>
  <c r="J103" i="1"/>
  <c r="J104" i="1"/>
  <c r="J105" i="1"/>
  <c r="J106" i="1"/>
  <c r="J107" i="1"/>
  <c r="J132" i="1" l="1"/>
  <c r="J133" i="1"/>
  <c r="J134" i="1"/>
  <c r="J381" i="5" l="1"/>
  <c r="J623" i="2"/>
  <c r="J138" i="2" l="1"/>
  <c r="J380" i="5"/>
  <c r="J455" i="2" l="1"/>
  <c r="J456" i="2"/>
  <c r="J320" i="2" l="1"/>
  <c r="J152" i="2"/>
  <c r="J153" i="2"/>
  <c r="J154" i="2"/>
  <c r="J155" i="2"/>
  <c r="J156" i="2"/>
  <c r="J157" i="2"/>
  <c r="J158" i="2"/>
  <c r="J79" i="2"/>
  <c r="J246" i="1"/>
  <c r="J247" i="1" s="1"/>
  <c r="J622" i="2" l="1"/>
  <c r="J621" i="2"/>
  <c r="J620" i="2"/>
  <c r="J624" i="2" l="1"/>
  <c r="J313" i="1"/>
  <c r="J314" i="1"/>
  <c r="J315" i="1"/>
  <c r="J316" i="1"/>
  <c r="J359" i="1"/>
  <c r="J317" i="1"/>
  <c r="J319" i="1"/>
  <c r="J320" i="1"/>
  <c r="J321" i="1"/>
  <c r="J322" i="1"/>
  <c r="J323" i="1"/>
  <c r="I40" i="3"/>
  <c r="I47" i="3"/>
  <c r="I48" i="3"/>
  <c r="I69" i="3"/>
  <c r="I70" i="3"/>
  <c r="I71" i="3"/>
  <c r="I72" i="3"/>
  <c r="I73" i="3"/>
  <c r="I81" i="3"/>
  <c r="I82" i="3"/>
  <c r="I90" i="3"/>
  <c r="I91" i="3"/>
  <c r="I92" i="3"/>
  <c r="I93" i="3"/>
  <c r="I94" i="3"/>
  <c r="I95" i="3"/>
  <c r="I96" i="3"/>
  <c r="I97" i="3"/>
  <c r="I89" i="3"/>
  <c r="I88" i="3"/>
  <c r="I80" i="3"/>
  <c r="I79" i="3"/>
  <c r="I68" i="3"/>
  <c r="I67" i="3"/>
  <c r="I61" i="3"/>
  <c r="I55" i="3"/>
  <c r="I46" i="3"/>
  <c r="I39" i="3"/>
  <c r="I38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16" i="3"/>
  <c r="I90" i="4"/>
  <c r="I207" i="4"/>
  <c r="I206" i="4"/>
  <c r="I80" i="4"/>
  <c r="I208" i="4" l="1"/>
  <c r="I104" i="4"/>
  <c r="J539" i="5"/>
  <c r="J540" i="5"/>
  <c r="J541" i="5"/>
  <c r="J542" i="5"/>
  <c r="J543" i="5"/>
  <c r="J544" i="5"/>
  <c r="J545" i="5"/>
  <c r="J547" i="5"/>
  <c r="J548" i="5"/>
  <c r="J549" i="5"/>
  <c r="J550" i="5"/>
  <c r="J554" i="5"/>
  <c r="J555" i="5"/>
  <c r="J556" i="5"/>
  <c r="J557" i="5"/>
  <c r="J558" i="5"/>
  <c r="J561" i="5"/>
  <c r="J562" i="5"/>
  <c r="J563" i="5"/>
  <c r="J564" i="5"/>
  <c r="J566" i="5"/>
  <c r="J567" i="5"/>
  <c r="J570" i="5"/>
  <c r="J571" i="5"/>
  <c r="J572" i="5"/>
  <c r="J577" i="5"/>
  <c r="J578" i="5"/>
  <c r="J579" i="5"/>
  <c r="J584" i="5"/>
  <c r="J585" i="5"/>
  <c r="J586" i="5"/>
  <c r="J587" i="5"/>
  <c r="J588" i="5"/>
  <c r="J591" i="5"/>
  <c r="J592" i="5"/>
  <c r="J594" i="5"/>
  <c r="J596" i="5"/>
  <c r="J598" i="5"/>
  <c r="J537" i="5"/>
  <c r="J551" i="5"/>
  <c r="J552" i="5"/>
  <c r="J553" i="5"/>
  <c r="J559" i="5"/>
  <c r="J560" i="5"/>
  <c r="J565" i="5"/>
  <c r="J568" i="5"/>
  <c r="J569" i="5"/>
  <c r="J573" i="5"/>
  <c r="J574" i="5"/>
  <c r="J575" i="5"/>
  <c r="J576" i="5"/>
  <c r="J580" i="5"/>
  <c r="J581" i="5"/>
  <c r="J582" i="5"/>
  <c r="J583" i="5"/>
  <c r="J589" i="5"/>
  <c r="J590" i="5"/>
  <c r="J593" i="5"/>
  <c r="J595" i="5"/>
  <c r="J597" i="5"/>
  <c r="J431" i="5"/>
  <c r="J433" i="5"/>
  <c r="J434" i="5"/>
  <c r="J435" i="5"/>
  <c r="J436" i="5"/>
  <c r="J438" i="5"/>
  <c r="J439" i="5"/>
  <c r="J440" i="5"/>
  <c r="J441" i="5"/>
  <c r="J442" i="5"/>
  <c r="J443" i="5"/>
  <c r="J422" i="5"/>
  <c r="J397" i="5"/>
  <c r="J398" i="5"/>
  <c r="J401" i="5"/>
  <c r="J402" i="5"/>
  <c r="J403" i="5"/>
  <c r="J404" i="5"/>
  <c r="J405" i="5"/>
  <c r="J406" i="5"/>
  <c r="J408" i="5"/>
  <c r="J409" i="5"/>
  <c r="J410" i="5"/>
  <c r="J411" i="5"/>
  <c r="J413" i="5"/>
  <c r="J368" i="5"/>
  <c r="J369" i="5"/>
  <c r="J370" i="5"/>
  <c r="J372" i="5"/>
  <c r="J373" i="5"/>
  <c r="J374" i="5"/>
  <c r="J375" i="5"/>
  <c r="J376" i="5"/>
  <c r="J378" i="5"/>
  <c r="J379" i="5"/>
  <c r="J382" i="5"/>
  <c r="J383" i="5"/>
  <c r="J384" i="5"/>
  <c r="J385" i="5"/>
  <c r="J386" i="5"/>
  <c r="J387" i="5"/>
  <c r="J388" i="5"/>
  <c r="J38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3" i="5"/>
  <c r="J224" i="5"/>
  <c r="J225" i="5"/>
  <c r="J226" i="5"/>
  <c r="J227" i="5"/>
  <c r="J228" i="5"/>
  <c r="J229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546" i="5"/>
  <c r="J538" i="5"/>
  <c r="J450" i="5"/>
  <c r="J449" i="5"/>
  <c r="J430" i="5"/>
  <c r="J429" i="5"/>
  <c r="J421" i="5"/>
  <c r="J420" i="5"/>
  <c r="J396" i="5"/>
  <c r="J395" i="5"/>
  <c r="J367" i="5"/>
  <c r="J366" i="5"/>
  <c r="J351" i="5"/>
  <c r="J319" i="5"/>
  <c r="J318" i="5"/>
  <c r="J197" i="5"/>
  <c r="J196" i="5"/>
  <c r="J73" i="5"/>
  <c r="J192" i="5" s="1"/>
  <c r="J91" i="2"/>
  <c r="J92" i="2"/>
  <c r="J93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67" i="2"/>
  <c r="J277" i="2" s="1"/>
  <c r="J287" i="2"/>
  <c r="J288" i="2"/>
  <c r="J289" i="2"/>
  <c r="J291" i="2"/>
  <c r="J292" i="2"/>
  <c r="J293" i="2"/>
  <c r="J294" i="2"/>
  <c r="J295" i="2"/>
  <c r="J297" i="2"/>
  <c r="J298" i="2"/>
  <c r="J299" i="2"/>
  <c r="J301" i="2"/>
  <c r="J302" i="2"/>
  <c r="J303" i="2"/>
  <c r="J304" i="2"/>
  <c r="J307" i="2"/>
  <c r="J308" i="2"/>
  <c r="J309" i="2"/>
  <c r="J310" i="2"/>
  <c r="J312" i="2"/>
  <c r="J314" i="2"/>
  <c r="J315" i="2"/>
  <c r="J316" i="2"/>
  <c r="J317" i="2"/>
  <c r="J318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441" i="2"/>
  <c r="J442" i="2"/>
  <c r="J443" i="2"/>
  <c r="J407" i="2"/>
  <c r="J411" i="2" s="1"/>
  <c r="J389" i="2"/>
  <c r="J402" i="2" s="1"/>
  <c r="J334" i="2"/>
  <c r="J333" i="2"/>
  <c r="J332" i="2"/>
  <c r="J331" i="2"/>
  <c r="J330" i="2"/>
  <c r="J329" i="2"/>
  <c r="J328" i="2"/>
  <c r="J286" i="2"/>
  <c r="J541" i="2"/>
  <c r="J285" i="2"/>
  <c r="J284" i="2"/>
  <c r="J283" i="2"/>
  <c r="J282" i="2"/>
  <c r="J281" i="2"/>
  <c r="J244" i="2"/>
  <c r="J261" i="2" s="1"/>
  <c r="J223" i="2"/>
  <c r="J222" i="2"/>
  <c r="J221" i="2"/>
  <c r="J220" i="2"/>
  <c r="J219" i="2"/>
  <c r="J218" i="2"/>
  <c r="J217" i="2"/>
  <c r="J194" i="2"/>
  <c r="J212" i="2" s="1"/>
  <c r="J175" i="2"/>
  <c r="J174" i="2"/>
  <c r="J167" i="2"/>
  <c r="J168" i="2" s="1"/>
  <c r="J151" i="2"/>
  <c r="J150" i="2"/>
  <c r="J149" i="2"/>
  <c r="J148" i="2"/>
  <c r="J147" i="2"/>
  <c r="J146" i="2"/>
  <c r="J145" i="2"/>
  <c r="J125" i="2"/>
  <c r="J577" i="2"/>
  <c r="J124" i="2"/>
  <c r="J123" i="2"/>
  <c r="J122" i="2"/>
  <c r="J121" i="2"/>
  <c r="J120" i="2"/>
  <c r="J103" i="2"/>
  <c r="J102" i="2"/>
  <c r="J101" i="2"/>
  <c r="J90" i="2"/>
  <c r="J89" i="2"/>
  <c r="J88" i="2"/>
  <c r="J87" i="2"/>
  <c r="J86" i="2"/>
  <c r="J85" i="2"/>
  <c r="J78" i="2"/>
  <c r="J77" i="2"/>
  <c r="J76" i="2"/>
  <c r="J75" i="2"/>
  <c r="J74" i="2"/>
  <c r="J73" i="2"/>
  <c r="J57" i="2"/>
  <c r="J56" i="2"/>
  <c r="J55" i="2"/>
  <c r="J54" i="2"/>
  <c r="J53" i="2"/>
  <c r="J52" i="2"/>
  <c r="J43" i="2"/>
  <c r="J42" i="2"/>
  <c r="J41" i="2"/>
  <c r="J40" i="2"/>
  <c r="J39" i="2"/>
  <c r="J38" i="2"/>
  <c r="J37" i="2"/>
  <c r="J22" i="2"/>
  <c r="J23" i="2"/>
  <c r="J24" i="2"/>
  <c r="J25" i="2"/>
  <c r="J26" i="2"/>
  <c r="J27" i="2"/>
  <c r="J28" i="2"/>
  <c r="J29" i="2"/>
  <c r="J30" i="2"/>
  <c r="J21" i="2"/>
  <c r="J20" i="2"/>
  <c r="J19" i="2"/>
  <c r="J18" i="2"/>
  <c r="J17" i="2"/>
  <c r="J16" i="2"/>
  <c r="J639" i="2"/>
  <c r="J606" i="2"/>
  <c r="J605" i="2"/>
  <c r="J604" i="2"/>
  <c r="J573" i="2"/>
  <c r="J559" i="2"/>
  <c r="J558" i="2"/>
  <c r="J550" i="2"/>
  <c r="J546" i="2"/>
  <c r="J551" i="2" s="1"/>
  <c r="J540" i="2"/>
  <c r="J537" i="2"/>
  <c r="J530" i="2"/>
  <c r="J529" i="2"/>
  <c r="J531" i="2" s="1"/>
  <c r="J523" i="2"/>
  <c r="J522" i="2"/>
  <c r="J515" i="2"/>
  <c r="J514" i="2"/>
  <c r="J516" i="2" s="1"/>
  <c r="J500" i="2"/>
  <c r="J499" i="2"/>
  <c r="J464" i="2"/>
  <c r="J463" i="2"/>
  <c r="J465" i="2" s="1"/>
  <c r="J454" i="2"/>
  <c r="J453" i="2"/>
  <c r="J452" i="2"/>
  <c r="J451" i="2"/>
  <c r="J450" i="2"/>
  <c r="J449" i="2"/>
  <c r="J440" i="2"/>
  <c r="J439" i="2"/>
  <c r="J438" i="2"/>
  <c r="J437" i="2"/>
  <c r="J436" i="2"/>
  <c r="J421" i="2"/>
  <c r="J420" i="2"/>
  <c r="J419" i="2"/>
  <c r="J418" i="2"/>
  <c r="J417" i="2"/>
  <c r="J416" i="2"/>
  <c r="J357" i="1"/>
  <c r="J360" i="1" s="1"/>
  <c r="J312" i="1"/>
  <c r="J311" i="1"/>
  <c r="J332" i="1" s="1"/>
  <c r="J280" i="1"/>
  <c r="J268" i="1"/>
  <c r="J259" i="1"/>
  <c r="J258" i="1"/>
  <c r="J231" i="1"/>
  <c r="J212" i="1"/>
  <c r="J214" i="1" s="1"/>
  <c r="J203" i="1"/>
  <c r="J207" i="1" s="1"/>
  <c r="J187" i="1"/>
  <c r="J180" i="1"/>
  <c r="J166" i="1"/>
  <c r="J165" i="1"/>
  <c r="J157" i="1"/>
  <c r="J160" i="1" s="1"/>
  <c r="J131" i="1"/>
  <c r="J135" i="1" s="1"/>
  <c r="J125" i="1"/>
  <c r="J115" i="1"/>
  <c r="J114" i="1"/>
  <c r="J101" i="1"/>
  <c r="J109" i="1" s="1"/>
  <c r="J79" i="1"/>
  <c r="J96" i="1" s="1"/>
  <c r="J38" i="1"/>
  <c r="J47" i="1" s="1"/>
  <c r="J26" i="1"/>
  <c r="J31" i="1" s="1"/>
  <c r="J14" i="1"/>
  <c r="J16" i="1"/>
  <c r="J17" i="1"/>
  <c r="J18" i="1"/>
  <c r="J13" i="1"/>
  <c r="J524" i="2" l="1"/>
  <c r="J582" i="2"/>
  <c r="J501" i="2"/>
  <c r="J444" i="5"/>
  <c r="J454" i="5"/>
  <c r="J414" i="5"/>
  <c r="J361" i="5"/>
  <c r="J390" i="5"/>
  <c r="J425" i="5"/>
  <c r="J599" i="5"/>
  <c r="J346" i="5"/>
  <c r="J169" i="1"/>
  <c r="J104" i="2"/>
  <c r="J607" i="2"/>
  <c r="J263" i="1"/>
  <c r="J21" i="1"/>
  <c r="J313" i="5"/>
  <c r="J80" i="2"/>
  <c r="J384" i="2"/>
  <c r="J560" i="2"/>
  <c r="J542" i="2"/>
  <c r="J239" i="2"/>
  <c r="J444" i="2"/>
  <c r="J140" i="2"/>
  <c r="J323" i="2"/>
  <c r="J59" i="2"/>
  <c r="J47" i="2"/>
  <c r="J32" i="2"/>
  <c r="J432" i="2"/>
  <c r="J96" i="2"/>
  <c r="J161" i="2"/>
  <c r="J190" i="2"/>
</calcChain>
</file>

<file path=xl/sharedStrings.xml><?xml version="1.0" encoding="utf-8"?>
<sst xmlns="http://schemas.openxmlformats.org/spreadsheetml/2006/main" count="3495" uniqueCount="1765">
  <si>
    <t>NO.</t>
  </si>
  <si>
    <t>NAME OF STUDENT</t>
  </si>
  <si>
    <t>MAT. NO.</t>
  </si>
  <si>
    <t xml:space="preserve">           REMARKS</t>
  </si>
  <si>
    <t>EVERY NATION COLLEGE</t>
  </si>
  <si>
    <t>HIGHER DIPLOMA - PROCUREMENT &amp; LOGISTICS - 1ST YEAR</t>
  </si>
  <si>
    <t>HIGHER DIPLOMA - PUBLIC HEALTH - 1ST YEAR</t>
  </si>
  <si>
    <t>DIPLOMA - PUBLIC HEALTH - 1ST YEAR</t>
  </si>
  <si>
    <t>MASSAQUOI, Mohamed</t>
  </si>
  <si>
    <t xml:space="preserve">   BO,  SIERRA LEONE</t>
  </si>
  <si>
    <t>BACHELOR OF SCIENCE - PUBLIC HEALTH - 1ST YEAR</t>
  </si>
  <si>
    <t>TIPSON, James</t>
  </si>
  <si>
    <t>BRIMA, Mohamed</t>
  </si>
  <si>
    <t>BACHELOR OF SCIENCE AGRICULTURE - DEVELOPMENT STUDIES - 1ST YEAR</t>
  </si>
  <si>
    <t>VILLA, Christian Amadu</t>
  </si>
  <si>
    <t>HIGHER DIPLOMA - COMMUNITY  DEVELOPMENT STUDIES - 1ST YEAR</t>
  </si>
  <si>
    <t>BACHELOR OF SCIENCE - BANKING &amp; FINANCE - 1ST YEAR</t>
  </si>
  <si>
    <t>B. SC BUSINESS ADMINISTRATION - 1ST YEAR</t>
  </si>
  <si>
    <t>CONTEH, Augustine Joseph</t>
  </si>
  <si>
    <t xml:space="preserve">B.SC. - SOCIAL WORK - 1ST YEAR </t>
  </si>
  <si>
    <t>KOROMA, Abdulai</t>
  </si>
  <si>
    <t>HIGHER DIPLOMA - ACCOUNTING - 1ST YEAR</t>
  </si>
  <si>
    <t>HIGHER DIPLOMA - BUSINESS ADMINISTRATION - 1ST YEAR</t>
  </si>
  <si>
    <t>KEBBIE, Jamiru</t>
  </si>
  <si>
    <t>HIGHER DIPLOMA IN THEOLOGY - CHRISTIAN EDUCATION - 1ST YEAR</t>
  </si>
  <si>
    <t>CONTEH, David</t>
  </si>
  <si>
    <t>KAMARA, Theresa Yatta</t>
  </si>
  <si>
    <t>BOCKARIE, Matthew Ben</t>
  </si>
  <si>
    <t>DIPLOMA - PROCUREMENT &amp; LOGISTICS - 1ST YEAR</t>
  </si>
  <si>
    <t>FODAY, Sahr</t>
  </si>
  <si>
    <t>MASSAQUOI, Shodankeh</t>
  </si>
  <si>
    <t>SHEARS-MOSES, Ayodele Emmanuella</t>
  </si>
  <si>
    <t>MANSARAY, Nyama</t>
  </si>
  <si>
    <t>KARMOH, Luseni</t>
  </si>
  <si>
    <t>MOSERAY, Denis Samuel</t>
  </si>
  <si>
    <t>ANSUMANA, Memunatu</t>
  </si>
  <si>
    <t>KOROMA, Bockarie Sao</t>
  </si>
  <si>
    <t>MAHDI, Jarieu Fatmata</t>
  </si>
  <si>
    <t>MANSARAY, Adama</t>
  </si>
  <si>
    <t>KOROMA, Fatmata</t>
  </si>
  <si>
    <t>KAMARA, Shaka Baba</t>
  </si>
  <si>
    <t>LUSENI, Joyce</t>
  </si>
  <si>
    <t>SHERIFF, Bintu</t>
  </si>
  <si>
    <t>MASSAQUOI, Christiana</t>
  </si>
  <si>
    <t>MOSERAY, Alfred</t>
  </si>
  <si>
    <t>GOBA, Esther</t>
  </si>
  <si>
    <t>KONNEH, Baindu</t>
  </si>
  <si>
    <t>ALLIEU, Mamie</t>
  </si>
  <si>
    <t>SESAY, Saidu John</t>
  </si>
  <si>
    <t>ALPHA, Tenneh</t>
  </si>
  <si>
    <t>MOSERAY, Ruth</t>
  </si>
  <si>
    <t>GOBA, Desmond</t>
  </si>
  <si>
    <t>KOROMA, Ernest</t>
  </si>
  <si>
    <t>KAMARA, Aminata Henrietta</t>
  </si>
  <si>
    <t>SULAIMAN, Mohamed</t>
  </si>
  <si>
    <t>MARGAI, Alice Isata</t>
  </si>
  <si>
    <t>MUSA, Fatu Mariatu</t>
  </si>
  <si>
    <t>JABATY, Amie</t>
  </si>
  <si>
    <t>NDOMAINA, Mabel Musu</t>
  </si>
  <si>
    <t>BANGURA, Kadiatu</t>
  </si>
  <si>
    <t>KOROMA, Fatmata Hajaratu</t>
  </si>
  <si>
    <t>TOMMY, James</t>
  </si>
  <si>
    <t>BREWAH, Aloysius</t>
  </si>
  <si>
    <t>MOMOH, Esther</t>
  </si>
  <si>
    <t>JAYAH, Jeneba</t>
  </si>
  <si>
    <t>KAMARA, Musu Sarah</t>
  </si>
  <si>
    <t>BAH, Fatmata</t>
  </si>
  <si>
    <t>TURAY, Mustapha</t>
  </si>
  <si>
    <t>MENJOR, Millicent</t>
  </si>
  <si>
    <t>TUCKER, Grace Yei</t>
  </si>
  <si>
    <t>SAFFA, Alicious Bundu</t>
  </si>
  <si>
    <t>TARAWALLY, Mariama</t>
  </si>
  <si>
    <t>TALUVA, Davida Sarah</t>
  </si>
  <si>
    <t>TAYLOR, Mary Alice Boima</t>
  </si>
  <si>
    <t>KAMARA, Kadiatu</t>
  </si>
  <si>
    <t>LAPPIA, Rebecca Jebbeh</t>
  </si>
  <si>
    <t>SWARAY, Kadija</t>
  </si>
  <si>
    <t>DABENIE, Edna</t>
  </si>
  <si>
    <t>SUNGU, Agatha</t>
  </si>
  <si>
    <t>YOKIE, Fatmata</t>
  </si>
  <si>
    <t>BOCKARIE, Isata</t>
  </si>
  <si>
    <t>KOROMA, Mamie</t>
  </si>
  <si>
    <t>GASSAMA, Mariama</t>
  </si>
  <si>
    <t>GBONDO, Timothy</t>
  </si>
  <si>
    <t>MORIBA, Smart</t>
  </si>
  <si>
    <t>BAYOH, Mariama</t>
  </si>
  <si>
    <t>PESSIMA, Philip</t>
  </si>
  <si>
    <t>ALIEU, David</t>
  </si>
  <si>
    <t>JASABE, Bockarie</t>
  </si>
  <si>
    <t>BRIMA, Martha Ruth</t>
  </si>
  <si>
    <t>SIDIKIE, Isata</t>
  </si>
  <si>
    <t>MURRAY, Ruth Margaret</t>
  </si>
  <si>
    <t>COLLIER, Musu</t>
  </si>
  <si>
    <t>TURAY, David</t>
  </si>
  <si>
    <t>FATORMA, Elizabeth</t>
  </si>
  <si>
    <t>LAHAI, Lucy</t>
  </si>
  <si>
    <t>NABIEU, Messie</t>
  </si>
  <si>
    <t>KENDEMA, Peter Sahr</t>
  </si>
  <si>
    <t>FALLAY, Ibrahim</t>
  </si>
  <si>
    <t>GBAKI, Angela</t>
  </si>
  <si>
    <t>BREWAH, Alice</t>
  </si>
  <si>
    <t>MAKAYA, John Samuel</t>
  </si>
  <si>
    <t>KOBAI, Genesie</t>
  </si>
  <si>
    <t>MORRAY, Tamba</t>
  </si>
  <si>
    <t>SMITH, Samuel</t>
  </si>
  <si>
    <t>JAMES, Tamba</t>
  </si>
  <si>
    <t>FORAY, Hawa</t>
  </si>
  <si>
    <t>SESAY, Doris</t>
  </si>
  <si>
    <t>B.SC. - POLITICAL SCIENCE OPTION - 1ST YEAR</t>
  </si>
  <si>
    <t>FATORMA, Robert</t>
  </si>
  <si>
    <t>MASSAQUOI, Mariama</t>
  </si>
  <si>
    <t>ABDULAI, Prince</t>
  </si>
  <si>
    <t>SELLU, Emmanuel Tamba</t>
  </si>
  <si>
    <t>SESAY, John</t>
  </si>
  <si>
    <t>HIGHER DIPLOMA - STATE REGISTERED NURSE (SRN) - 1ST YEAR</t>
  </si>
  <si>
    <t>KOROMA, Mustapha</t>
  </si>
  <si>
    <t>MUSA, Mary</t>
  </si>
  <si>
    <t>TOMMY, Musu</t>
  </si>
  <si>
    <t>KUYATEH, Mariama</t>
  </si>
  <si>
    <t>FODAY, Agnes Kemah</t>
  </si>
  <si>
    <t>BARRIE, Isatu</t>
  </si>
  <si>
    <t>KOROMA, Tenneh</t>
  </si>
  <si>
    <t>DAUDA, Musu Michaella</t>
  </si>
  <si>
    <t>JOSIAH, Kadie</t>
  </si>
  <si>
    <t>SAMAI, Eva Yeawa</t>
  </si>
  <si>
    <t>KENDEWA, Victoria</t>
  </si>
  <si>
    <t>FOFANAH, Hawanatu</t>
  </si>
  <si>
    <t>LAHAI, Keifala</t>
  </si>
  <si>
    <t>ROGERS, Chritiana</t>
  </si>
  <si>
    <t>NDANEMA, Alfred</t>
  </si>
  <si>
    <t>AMARA, Rebecca</t>
  </si>
  <si>
    <t>MALLAH, Jeneba</t>
  </si>
  <si>
    <t>TARAWALLY, Jeneba</t>
  </si>
  <si>
    <t>TUCKER, Lucia Catherine</t>
  </si>
  <si>
    <t>KANU, Grace Karen</t>
  </si>
  <si>
    <t>ROGERS, Maria Bintu</t>
  </si>
  <si>
    <t>MAMMY, Sheku Osman</t>
  </si>
  <si>
    <t>KALLOWGA, Elizabeth AGH</t>
  </si>
  <si>
    <t>KAMARA, Michaella</t>
  </si>
  <si>
    <t>DAMBAQUEE, Aminata</t>
  </si>
  <si>
    <t>HUMPER, Margaret Umu</t>
  </si>
  <si>
    <t>SESAY, Mariama</t>
  </si>
  <si>
    <t>WILLIAMS, Michaella</t>
  </si>
  <si>
    <t>ABDULAI, Musa</t>
  </si>
  <si>
    <t>HASHIM, Ibrahim</t>
  </si>
  <si>
    <t>SAWANEH, Jeneba</t>
  </si>
  <si>
    <t>SESAY, Zainab</t>
  </si>
  <si>
    <t>JALLOH, Ismata Blessing</t>
  </si>
  <si>
    <t>VELLAH, Mary</t>
  </si>
  <si>
    <t>KAMARA, Feremusu</t>
  </si>
  <si>
    <t>KALLON, Francess</t>
  </si>
  <si>
    <t>MANSARAY, Seibatu</t>
  </si>
  <si>
    <t>JALLOH, Mariama</t>
  </si>
  <si>
    <t>KOROMA, Rebecca Cecilia</t>
  </si>
  <si>
    <t>KANU, Isata</t>
  </si>
  <si>
    <t>MBAYO, Gloria</t>
  </si>
  <si>
    <t>FODAY, Jebbeh</t>
  </si>
  <si>
    <t>CONTEH, Mariama</t>
  </si>
  <si>
    <t>KAMARA, Francis</t>
  </si>
  <si>
    <t>WULLEH, Mariama</t>
  </si>
  <si>
    <t>KAMARA, Triacia</t>
  </si>
  <si>
    <t>KAMARA, Fullah Hawa</t>
  </si>
  <si>
    <t>SANDI, Lilian Devine</t>
  </si>
  <si>
    <t>AMARA, Musu Magdalene</t>
  </si>
  <si>
    <t>GEORGE, Marian Julia</t>
  </si>
  <si>
    <t>GONDOH, Mariatu  James</t>
  </si>
  <si>
    <t>SOURIE, Sahr Kabuta</t>
  </si>
  <si>
    <t>WILLIAMS, Ruth Moinya</t>
  </si>
  <si>
    <t>YARJAH, Sahr Joseph</t>
  </si>
  <si>
    <t>BUNDOR, Hannah</t>
  </si>
  <si>
    <t>SMART, Mary</t>
  </si>
  <si>
    <t>SESAY, Adama</t>
  </si>
  <si>
    <t>TARAWALLY, Mohamed Sidy</t>
  </si>
  <si>
    <t>KAMARA, Mohamed Philip</t>
  </si>
  <si>
    <t>KMP</t>
  </si>
  <si>
    <t>FAYIA, Hawah Haja</t>
  </si>
  <si>
    <t>MARGAI, Jeminatu</t>
  </si>
  <si>
    <t>ELLIE, Wadia</t>
  </si>
  <si>
    <t>MUSA, Esther Marie</t>
  </si>
  <si>
    <t>YAMBA, James Julius</t>
  </si>
  <si>
    <t>KAMARA, Abu Bakarr</t>
  </si>
  <si>
    <t>WILLIAMS, Augusta</t>
  </si>
  <si>
    <t>COMBEY, Augustine M</t>
  </si>
  <si>
    <t>BEAHAI, Mohamed James</t>
  </si>
  <si>
    <t>MACAULEY, Francis Alusine</t>
  </si>
  <si>
    <t>BUNDOR, Renal Maligie</t>
  </si>
  <si>
    <t>KAILIE, Edward Y</t>
  </si>
  <si>
    <t>NYANDEBO, Tejan</t>
  </si>
  <si>
    <t>SHERIFF, Mohamed</t>
  </si>
  <si>
    <t>SHERIFF, Morison Mohamed</t>
  </si>
  <si>
    <t>SOWA, Michaella</t>
  </si>
  <si>
    <t>JAMES, Andrew</t>
  </si>
  <si>
    <t>KONNEH, Massah Baindu</t>
  </si>
  <si>
    <t>VANDY, Steven Henry Michael</t>
  </si>
  <si>
    <t>SOLOMON, Somboo</t>
  </si>
  <si>
    <t>KPANGBAVIE, Mustapha</t>
  </si>
  <si>
    <t>MOIJUEH, Paul Momoh</t>
  </si>
  <si>
    <t>KANNEH, Massah Ginnah</t>
  </si>
  <si>
    <t>ROBIN, Tenneh Lombe</t>
  </si>
  <si>
    <t>CONTEH, Mariatu</t>
  </si>
  <si>
    <t>STEVENS, Esther Queen</t>
  </si>
  <si>
    <t>FABBA, Alfred</t>
  </si>
  <si>
    <t>BRIMA, Fatmata</t>
  </si>
  <si>
    <t>DURAMANY, Alhaji Mohamed</t>
  </si>
  <si>
    <t>KANU, Kabba Joseph</t>
  </si>
  <si>
    <t>KAMARA, Bashiru Osman Momodu S</t>
  </si>
  <si>
    <t>BAH, Mohamed</t>
  </si>
  <si>
    <t>SEFOI, Madie</t>
  </si>
  <si>
    <t>SAWANEH, Sulaiman</t>
  </si>
  <si>
    <t>MATTIA, Anderson Morison</t>
  </si>
  <si>
    <t>YARJAH, David Komba</t>
  </si>
  <si>
    <t>MOMOH, Solomon God'swill</t>
  </si>
  <si>
    <t>BANGURA, Sheku</t>
  </si>
  <si>
    <t>KOPOI, Peter Morie</t>
  </si>
  <si>
    <t>SANDY, Lansana</t>
  </si>
  <si>
    <t>BACHELOR OF SCIENCE - ELECTRONICS &amp; TELECOMMUNICATION - 1ST YEAR</t>
  </si>
  <si>
    <t>FODAY-NGEVAO, Caesar Mathew</t>
  </si>
  <si>
    <t>KAMARA, Abdulai Augustine</t>
  </si>
  <si>
    <t>LEBBIE, David</t>
  </si>
  <si>
    <t>DARAMY, Alimatu</t>
  </si>
  <si>
    <t>MOIFORAY, Aminata</t>
  </si>
  <si>
    <t>KARGBO, Esther</t>
  </si>
  <si>
    <t>KARGBO, Daniel</t>
  </si>
  <si>
    <t>MUSA, Elfreda</t>
  </si>
  <si>
    <t>KING, Deborah</t>
  </si>
  <si>
    <t>FATOMA, Cecilia Mbalu</t>
  </si>
  <si>
    <t>FREEMAN, Mariama John</t>
  </si>
  <si>
    <t>KOROMA, Bockarie</t>
  </si>
  <si>
    <t>ALPHA, Miatta Mbawah</t>
  </si>
  <si>
    <t>KALLON, John</t>
  </si>
  <si>
    <t>GBOW, Anoited Musa</t>
  </si>
  <si>
    <t>SESAY, Isata</t>
  </si>
  <si>
    <t>BOJON, Momodu</t>
  </si>
  <si>
    <t>JOHNSON, Jewel Sahar</t>
  </si>
  <si>
    <t>YOVONIE, Sylvia</t>
  </si>
  <si>
    <t>SAIDU, Esther</t>
  </si>
  <si>
    <t>VANDI, Grace</t>
  </si>
  <si>
    <t>MARRAH, Tenneh</t>
  </si>
  <si>
    <t>BAH, Nenneh</t>
  </si>
  <si>
    <t>SESAY, Lamin</t>
  </si>
  <si>
    <t>KAILIE, Madiana</t>
  </si>
  <si>
    <t>KAMARA, Hawa Precious</t>
  </si>
  <si>
    <t>BOYLE, Raymond</t>
  </si>
  <si>
    <t>JAMES, Hawa</t>
  </si>
  <si>
    <t>MATTIA, Emmanuel</t>
  </si>
  <si>
    <t>KALOKOH, Wulaimatu</t>
  </si>
  <si>
    <t>CONTEH, Adama</t>
  </si>
  <si>
    <t>GANDA, Sedia</t>
  </si>
  <si>
    <t xml:space="preserve">THORLEY, Osman Mohamed </t>
  </si>
  <si>
    <t>MUSA, Abdulai</t>
  </si>
  <si>
    <t>KOROMA, Isatu</t>
  </si>
  <si>
    <t>KABBA, Memunatu</t>
  </si>
  <si>
    <t>BAYOH, Abdulai</t>
  </si>
  <si>
    <t>KOBBA, Alie</t>
  </si>
  <si>
    <t>BOCKARIE, Sharon Edith</t>
  </si>
  <si>
    <t>JOHN, Elstella M</t>
  </si>
  <si>
    <t>BANGURA, Agatha</t>
  </si>
  <si>
    <t>GBONDA, Ruth I</t>
  </si>
  <si>
    <t>JEPPEH, Sia</t>
  </si>
  <si>
    <t xml:space="preserve">BEAHAI, Racheal Isata James </t>
  </si>
  <si>
    <t>CONTEH, Alfred Daddy</t>
  </si>
  <si>
    <t>JABATI, Marian Fudia</t>
  </si>
  <si>
    <t>KAMARA, Kalilu Ibrahim</t>
  </si>
  <si>
    <t>MASSAQUOI, Esther Tewoh</t>
  </si>
  <si>
    <t>PYNE, Augustine</t>
  </si>
  <si>
    <t>MANSARAY, Fatmata Mabel</t>
  </si>
  <si>
    <t>STRASSER-KING, Victoria F</t>
  </si>
  <si>
    <t>KAILIE, Emmanuel</t>
  </si>
  <si>
    <t>TOMMY, Christiana</t>
  </si>
  <si>
    <t>KAINESIE, Kadiatu</t>
  </si>
  <si>
    <t>BANGURA, Mbalu Mye</t>
  </si>
  <si>
    <t>KAMARA, Isatu</t>
  </si>
  <si>
    <t>MANSARAY, Mariama Seray</t>
  </si>
  <si>
    <t>SANDIWA, Janet Jenkins</t>
  </si>
  <si>
    <t>MUSA, Juliet</t>
  </si>
  <si>
    <t>SQUIRE, Joseph Holima</t>
  </si>
  <si>
    <t>LEBBIE, Sarah</t>
  </si>
  <si>
    <t>BONNIE, Zainab</t>
  </si>
  <si>
    <t>KANNEH, Martina</t>
  </si>
  <si>
    <t>NGOBEH, Nyuma</t>
  </si>
  <si>
    <t>KARGBO, Favour Sayoh</t>
  </si>
  <si>
    <t>DAUDA, Victoria</t>
  </si>
  <si>
    <t>PUJEH, Martin Joe</t>
  </si>
  <si>
    <t>KALLOWGA, Samuel Elijah</t>
  </si>
  <si>
    <t>SOWA, Olive Wuya</t>
  </si>
  <si>
    <t>VANDY, Joy Emmanuel</t>
  </si>
  <si>
    <t>SAIDU, Mariama Mamawa</t>
  </si>
  <si>
    <t>LEWIS, Emmanuel Michael</t>
  </si>
  <si>
    <t>JOHNSON, Rosaline Dora</t>
  </si>
  <si>
    <t>SESAY, Brima</t>
  </si>
  <si>
    <t>WOUEGBE, Philidor</t>
  </si>
  <si>
    <t>BANGURA, Matilda</t>
  </si>
  <si>
    <t>VAMBOI, Charles</t>
  </si>
  <si>
    <t>BONA, Mary</t>
  </si>
  <si>
    <t>NGAOJIA, Alpha</t>
  </si>
  <si>
    <t>FABAI, Kadie</t>
  </si>
  <si>
    <t>LAMIN, Bakiatu Elizabeth</t>
  </si>
  <si>
    <t>FARMA, Mary</t>
  </si>
  <si>
    <t>KOROMA, Abu</t>
  </si>
  <si>
    <t>YOKIE, Samuel Jacob Bindi</t>
  </si>
  <si>
    <t>MORRAY, Hassan Brima</t>
  </si>
  <si>
    <t>SHEKU, Elvis Moses</t>
  </si>
  <si>
    <t>SHEKU, Innocent</t>
  </si>
  <si>
    <t>MANSARAY, Augustine</t>
  </si>
  <si>
    <t>KARTEH, Prince</t>
  </si>
  <si>
    <t>SAM-FORAY, Fatmata Grace Zoe</t>
  </si>
  <si>
    <t>JAH, Elizabeth Mamawa</t>
  </si>
  <si>
    <t>KOROMA, Jennifer Jeneba</t>
  </si>
  <si>
    <t>ROBERT, Mary</t>
  </si>
  <si>
    <t>SALIA, Musukula</t>
  </si>
  <si>
    <t>MOHAMED, Irene</t>
  </si>
  <si>
    <t>MANSARAY, Tabbeh</t>
  </si>
  <si>
    <t>BRIMA, Mary</t>
  </si>
  <si>
    <t>JOHN, Lucyna Nyahabel Ejiroghene</t>
  </si>
  <si>
    <t>BRIMA, Belinda Hawa</t>
  </si>
  <si>
    <t>STEVENS, Mamie</t>
  </si>
  <si>
    <t>KONUWA, Sheku</t>
  </si>
  <si>
    <t>MBOKA, Theresa Mary</t>
  </si>
  <si>
    <t>KINDEH, Melvin Samai</t>
  </si>
  <si>
    <t>MOMODU, Alex</t>
  </si>
  <si>
    <t>TUCKER, Steven</t>
  </si>
  <si>
    <t>JOHNSON, Susan</t>
  </si>
  <si>
    <t>MISA, Ibrahim</t>
  </si>
  <si>
    <t>KEMOH, Isha Favour</t>
  </si>
  <si>
    <t>LAVALIE, Samuel Samson Nyakeh</t>
  </si>
  <si>
    <t>SAMMBOMAH, Ruth</t>
  </si>
  <si>
    <t>KOROMA, Bindia</t>
  </si>
  <si>
    <t>SAM, Daniel Hindowa</t>
  </si>
  <si>
    <t>MANSARAY, Marie</t>
  </si>
  <si>
    <t>KPANABOM, Josephine</t>
  </si>
  <si>
    <t>KAMARA, Hawa</t>
  </si>
  <si>
    <t xml:space="preserve">BONNIE, Beatrice </t>
  </si>
  <si>
    <t>SOGBANDI, Andrew Hindolo</t>
  </si>
  <si>
    <t>COLE, Joseph Andrew</t>
  </si>
  <si>
    <t>JANNOH, Moses</t>
  </si>
  <si>
    <t>SHERIFF, Dauda</t>
  </si>
  <si>
    <t>ROGERS, Wuya Sao</t>
  </si>
  <si>
    <t>SESAY, Laura Joko Blessing</t>
  </si>
  <si>
    <t>DONGBOI, Ernest Mukeh</t>
  </si>
  <si>
    <t>SESAY, Favour Isha Akeematu</t>
  </si>
  <si>
    <t>COKER, Habib Bangalie</t>
  </si>
  <si>
    <t>KPEWA, Joshua</t>
  </si>
  <si>
    <t>ABDULAI, Saffa</t>
  </si>
  <si>
    <t>KARIM, Sallieu</t>
  </si>
  <si>
    <t>SWARAY, Mohamed</t>
  </si>
  <si>
    <t>DASSAY, Babygirl</t>
  </si>
  <si>
    <t>LAPPIA, Musu</t>
  </si>
  <si>
    <t>SHERIFF, Josephine Marie</t>
  </si>
  <si>
    <t>SESAY, David</t>
  </si>
  <si>
    <t>LAWAN, Musa</t>
  </si>
  <si>
    <t>SANDI, Andrew</t>
  </si>
  <si>
    <t>STEVEN, Ibrahim</t>
  </si>
  <si>
    <t>SESAY, Isatu</t>
  </si>
  <si>
    <t>ROGERS, Bockarie</t>
  </si>
  <si>
    <t>SHARKAH, Victoria K</t>
  </si>
  <si>
    <t>MASSAQUOI, Alie</t>
  </si>
  <si>
    <t>ROGERS, Sylvester B</t>
  </si>
  <si>
    <t>MALLO, Moses</t>
  </si>
  <si>
    <t>KOROMA, Aruna Suffian</t>
  </si>
  <si>
    <t>BANGURA, Salamatu</t>
  </si>
  <si>
    <t>JALLOH, Abu Bakarr</t>
  </si>
  <si>
    <t>BONGROH, Ensa Momoh</t>
  </si>
  <si>
    <t>BRIMA, Augustine Bainda Sao Jr</t>
  </si>
  <si>
    <t>FOMBA, Fatmata</t>
  </si>
  <si>
    <t>FOMBA, Augustine P M</t>
  </si>
  <si>
    <t>THOMAS, Mattia</t>
  </si>
  <si>
    <t>BEAHAI, Francis</t>
  </si>
  <si>
    <t>GBONDO, Theresa</t>
  </si>
  <si>
    <t>KPAKA, Abdulai Kelly</t>
  </si>
  <si>
    <t>KANU, Fridrick F</t>
  </si>
  <si>
    <t>NABIEU, Alusine</t>
  </si>
  <si>
    <t>HASHIM, Umaru</t>
  </si>
  <si>
    <t>FULLAH, Mariama M</t>
  </si>
  <si>
    <t>KAMARA, Foday</t>
  </si>
  <si>
    <t>JAKEMA, Moses M</t>
  </si>
  <si>
    <t>VANDI, Bockarie Mathew</t>
  </si>
  <si>
    <t>KANU, Moses Kandeh</t>
  </si>
  <si>
    <t>BACHELOR OF SCIENCE - NUTRITION &amp; DIETETICS - 1ST YEAR</t>
  </si>
  <si>
    <t>SUMAILA, Doris</t>
  </si>
  <si>
    <t>KARGBO, Esther Aminata</t>
  </si>
  <si>
    <t>FOFANAH, Eleanor Fanta</t>
  </si>
  <si>
    <t>LEMOH, Saffiatu</t>
  </si>
  <si>
    <t>JOSIAH, Mary Wadia</t>
  </si>
  <si>
    <t>HAMOUD, Edith Santa</t>
  </si>
  <si>
    <t>KAILIE, Melrose Hawa</t>
  </si>
  <si>
    <t>CONTEH, Ramatulai</t>
  </si>
  <si>
    <t>BANGURA, Zainab H</t>
  </si>
  <si>
    <t>SHERIFF, Fatmata</t>
  </si>
  <si>
    <t>TOMBOYEKEH, Yusuf</t>
  </si>
  <si>
    <t>SESAY, Sahid M k</t>
  </si>
  <si>
    <t>MAKIEU, Aruna Paul</t>
  </si>
  <si>
    <t>SAFFA, Albert</t>
  </si>
  <si>
    <t>FINOR, David J</t>
  </si>
  <si>
    <t>FAHKONDOHR, Allieu</t>
  </si>
  <si>
    <t>LAMIN, Sarah Dedeh</t>
  </si>
  <si>
    <t>DABOH, Elizabeth</t>
  </si>
  <si>
    <t>BOCKARIE, John Foday</t>
  </si>
  <si>
    <t>FAMBULLEH, Musu</t>
  </si>
  <si>
    <t>KONNEH, Massah</t>
  </si>
  <si>
    <t>BANGURA, Fattu Jenneh</t>
  </si>
  <si>
    <t>KONNEH, Nafiesatu</t>
  </si>
  <si>
    <t>POKAWA, Ernest Che</t>
  </si>
  <si>
    <t>KALLON, Amara</t>
  </si>
  <si>
    <t>SOGBANDI, Theresa Tonnya</t>
  </si>
  <si>
    <t>KOROMA, Hassanatu</t>
  </si>
  <si>
    <t>AMARA, Sattu</t>
  </si>
  <si>
    <t>KOROMA, Anita</t>
  </si>
  <si>
    <t>NICOL, Elizabeth</t>
  </si>
  <si>
    <t>JOSIAH, Samuella</t>
  </si>
  <si>
    <t>BANGURA, Osman Tolo</t>
  </si>
  <si>
    <t>KOROMA, Aminata Songu</t>
  </si>
  <si>
    <t>NAVO, Patrick H</t>
  </si>
  <si>
    <t>KANNEH, Mariama</t>
  </si>
  <si>
    <t>KONDOR, Doris Mary</t>
  </si>
  <si>
    <t>KALLON, Fatmata</t>
  </si>
  <si>
    <t>BOCKARIE, Hassan</t>
  </si>
  <si>
    <t>SAWANEH, Fatmata</t>
  </si>
  <si>
    <t>BANGURA, Memunatu M</t>
  </si>
  <si>
    <t>KOKER, Sedia Ann</t>
  </si>
  <si>
    <t>MBAVALIE, Ishmael</t>
  </si>
  <si>
    <t>JUFF, Mohamed</t>
  </si>
  <si>
    <t>SUMAH, Yayah Alusine</t>
  </si>
  <si>
    <t>ROGERS, Regina</t>
  </si>
  <si>
    <t>SESAY, Bobson E</t>
  </si>
  <si>
    <t>WILSON, Therresa</t>
  </si>
  <si>
    <t>WAHAB, Ramatu</t>
  </si>
  <si>
    <t>KANDEH, Festina P</t>
  </si>
  <si>
    <t>WILSON, Jane Kadie</t>
  </si>
  <si>
    <t>MBAYOH, Marian K</t>
  </si>
  <si>
    <t>BROOKS, Melvina</t>
  </si>
  <si>
    <t>KAMARA, Janet M</t>
  </si>
  <si>
    <t>GBLO, Joslin</t>
  </si>
  <si>
    <t>ZOKER, Isatu Tewoh</t>
  </si>
  <si>
    <t>SINNAH, Kadiatu</t>
  </si>
  <si>
    <t>KOROMA, Mattu</t>
  </si>
  <si>
    <t>KORTU, Kadiatu</t>
  </si>
  <si>
    <t>DUMBUYA, Abu Bakarr</t>
  </si>
  <si>
    <t>MANSARAY, Bridget</t>
  </si>
  <si>
    <t>DABOH, Hawa</t>
  </si>
  <si>
    <t>KABBA, Haja</t>
  </si>
  <si>
    <t>AMARA, Robert E T</t>
  </si>
  <si>
    <t>KANNEH, Zainab</t>
  </si>
  <si>
    <t>MACAULEY, Augustine</t>
  </si>
  <si>
    <t>SANDY, Denis G</t>
  </si>
  <si>
    <t>SHERIFF, Ibrahim</t>
  </si>
  <si>
    <t>KABBA, Martha</t>
  </si>
  <si>
    <t>MASSAQUOI, Fatmata Yeani</t>
  </si>
  <si>
    <t>FULLAH, Peter Thomas</t>
  </si>
  <si>
    <t>KENNETH, Brima Ansu</t>
  </si>
  <si>
    <t>SACCOH, Mariama Sarah</t>
  </si>
  <si>
    <t>SESAY, Fatmata</t>
  </si>
  <si>
    <t>KOROMA, Destiny Zainab</t>
  </si>
  <si>
    <t>RASHID, Yattu</t>
  </si>
  <si>
    <t>KAMARA, Mamie Iye</t>
  </si>
  <si>
    <t>AMARA, Juliana Aminata</t>
  </si>
  <si>
    <t>LAMBOI, Marian T</t>
  </si>
  <si>
    <t>TURAY, Aminata</t>
  </si>
  <si>
    <t>KALOKOH, Esther Sama</t>
  </si>
  <si>
    <t>JUNISA, Emmanuel</t>
  </si>
  <si>
    <t>SELLU, Patrick M</t>
  </si>
  <si>
    <t>MURANA, Francess A</t>
  </si>
  <si>
    <t>MENJOR, Hawa Mary</t>
  </si>
  <si>
    <t>SESAY, Agnes</t>
  </si>
  <si>
    <t>AHMED, Adama</t>
  </si>
  <si>
    <t>BABAR, Matayas</t>
  </si>
  <si>
    <t>JALLOH, Muctarr</t>
  </si>
  <si>
    <t>BUNDU, Allieu</t>
  </si>
  <si>
    <t>VAMBOI, Lucy</t>
  </si>
  <si>
    <t>KANNEH, Ruth M</t>
  </si>
  <si>
    <t>JALLOH, Tejan</t>
  </si>
  <si>
    <t>MANSARAY, Abdulai</t>
  </si>
  <si>
    <t>SHARKA, Francess Seibatu</t>
  </si>
  <si>
    <t>MANNAH, Samuella Sesay</t>
  </si>
  <si>
    <t>YAKAWA, Jestina</t>
  </si>
  <si>
    <t>BARRIE, Khadija</t>
  </si>
  <si>
    <t>KAINESSIE, Mary S</t>
  </si>
  <si>
    <t>KAMARA, Blessing</t>
  </si>
  <si>
    <t>THOMAS, Susan</t>
  </si>
  <si>
    <t>ALPHA, Mohamed</t>
  </si>
  <si>
    <t>ADU, Efua</t>
  </si>
  <si>
    <t>LAMIN, Mariama Dauda</t>
  </si>
  <si>
    <t>CONTEH, Michael</t>
  </si>
  <si>
    <t>THULLAH, Amara</t>
  </si>
  <si>
    <t>ALLIE, Moses M</t>
  </si>
  <si>
    <t>SELLU, Alfred K</t>
  </si>
  <si>
    <t>DABOH, Abu Bakarr Mustapha</t>
  </si>
  <si>
    <t>MUSA, Ernest</t>
  </si>
  <si>
    <t>KOWAY, Abdul Rahman</t>
  </si>
  <si>
    <t>STEVE, Mitchel Jr</t>
  </si>
  <si>
    <t>FATORMA, Joseph Kenie</t>
  </si>
  <si>
    <t>SHERIFF, Abu Sheku</t>
  </si>
  <si>
    <t>KATTA, Emmanuel Osman</t>
  </si>
  <si>
    <t>BAWOH, Abdulai</t>
  </si>
  <si>
    <t>DYFAN, Thomas B</t>
  </si>
  <si>
    <t>JIGBA, Tibbie Sheku</t>
  </si>
  <si>
    <t>JOHN, Edward Koigor oburakporo</t>
  </si>
  <si>
    <t>MANSARAY, Foday Abdulai</t>
  </si>
  <si>
    <t>JUANAH, Margaret Marion</t>
  </si>
  <si>
    <t>GEORGE, James Claud</t>
  </si>
  <si>
    <t>KAPPIA, Ernest</t>
  </si>
  <si>
    <t>BONNIE, Edward</t>
  </si>
  <si>
    <t>KOROMA, Precious Hawa</t>
  </si>
  <si>
    <t>KOROMA, Alhaji Fudie Monyah</t>
  </si>
  <si>
    <t>MARVA, Peter</t>
  </si>
  <si>
    <t>BANGALIE, Emmanuel S</t>
  </si>
  <si>
    <t>SANDY, Idrissa Aaron</t>
  </si>
  <si>
    <t>HARDING, Philip</t>
  </si>
  <si>
    <t>HARDING, Samuel</t>
  </si>
  <si>
    <t>SIMBO, Robert</t>
  </si>
  <si>
    <t>KARIM, Ngoyella Agnes</t>
  </si>
  <si>
    <t>BAINDA, Edward Boima</t>
  </si>
  <si>
    <t>MASSAQUOI, Benitou Y</t>
  </si>
  <si>
    <t>COOMBER, Ibrahim</t>
  </si>
  <si>
    <t>SAMU, Margaret</t>
  </si>
  <si>
    <t>SARBAY, Yusuf Amodu</t>
  </si>
  <si>
    <t>CONTEH, Gbassay</t>
  </si>
  <si>
    <t>TUCKER, John Alusine</t>
  </si>
  <si>
    <t>CONTEH, Josephine</t>
  </si>
  <si>
    <t>SILLAH, Fatmata</t>
  </si>
  <si>
    <t>KINE, Ruth</t>
  </si>
  <si>
    <t>GBONDO, Fatmata</t>
  </si>
  <si>
    <t>ROGERS, Sarah</t>
  </si>
  <si>
    <t>BONNIE, Rosaline K</t>
  </si>
  <si>
    <t>SESAY, Alimamy</t>
  </si>
  <si>
    <t>MORIBA, Bernadette Babay</t>
  </si>
  <si>
    <t>TUCKAR, John</t>
  </si>
  <si>
    <t>MISSALIE, Mariama</t>
  </si>
  <si>
    <t>SENESIE, Samuella</t>
  </si>
  <si>
    <t>SESAY, Ansu</t>
  </si>
  <si>
    <t>TARAWALLIE, Naomi Hawa</t>
  </si>
  <si>
    <t>WILSON, George</t>
  </si>
  <si>
    <t>BABIN, Hannah Sunkarie</t>
  </si>
  <si>
    <t>BAYOH, Davina Rosetta</t>
  </si>
  <si>
    <t>MUSA, Zainab</t>
  </si>
  <si>
    <t>MBAKILLA, Janet B</t>
  </si>
  <si>
    <t>KAMARA, Maseray</t>
  </si>
  <si>
    <t>KAINESSIE, William</t>
  </si>
  <si>
    <t>TIMBO, Alieu Marian</t>
  </si>
  <si>
    <t>KAMARA, Tira</t>
  </si>
  <si>
    <t>JAMES, Augusta M</t>
  </si>
  <si>
    <t>SESAY, Jalikatu</t>
  </si>
  <si>
    <t>KOROMA, Daniel</t>
  </si>
  <si>
    <t>YEAMIE, Hassan</t>
  </si>
  <si>
    <t>JALLOH, Muctarr M</t>
  </si>
  <si>
    <t>GONDOH, Paul James</t>
  </si>
  <si>
    <t>JAWARD, Lamin</t>
  </si>
  <si>
    <t>KAMARA, Umaru</t>
  </si>
  <si>
    <t>LAHAI, Emmanuel</t>
  </si>
  <si>
    <t>MANSARAY, Princess</t>
  </si>
  <si>
    <t>KAMANDA, Ibrahim Seiwa</t>
  </si>
  <si>
    <t>KALLON, Patience Hope Mattu</t>
  </si>
  <si>
    <t>MUKEH, Mariama</t>
  </si>
  <si>
    <t>SENESIE, Francess</t>
  </si>
  <si>
    <t>SOWA, Isata</t>
  </si>
  <si>
    <t>SIVALIE, Augusta</t>
  </si>
  <si>
    <t>GBANDAFOH, Valentine Melvin</t>
  </si>
  <si>
    <t>SWARAY, Fudie Lissa</t>
  </si>
  <si>
    <t>LEWIS, Elizabeth M</t>
  </si>
  <si>
    <t>KENDOR, Amie S</t>
  </si>
  <si>
    <t>SARTIE, Samuel S</t>
  </si>
  <si>
    <t>ANSUMANA, Damba Sheriff</t>
  </si>
  <si>
    <t>TUCKER, Ann-Marie</t>
  </si>
  <si>
    <t>PUJEH, Edward A</t>
  </si>
  <si>
    <t>MOHAMED, Hawa</t>
  </si>
  <si>
    <t>SONGO, Marie</t>
  </si>
  <si>
    <t>GREENE, Magdalene</t>
  </si>
  <si>
    <t>KOROMA, Marie</t>
  </si>
  <si>
    <t>KANDEH, iye</t>
  </si>
  <si>
    <t>SESAY, Emma</t>
  </si>
  <si>
    <t>SOWA, Mary Isha</t>
  </si>
  <si>
    <t>SQUIRE, Samking Patrick Lappia</t>
  </si>
  <si>
    <t>ABDULAI, Abu Boms</t>
  </si>
  <si>
    <t>SAIDU, Marian</t>
  </si>
  <si>
    <t>DORWIE, Catherine</t>
  </si>
  <si>
    <t>KABBA, Jessica M</t>
  </si>
  <si>
    <t>BASSIE, Isha</t>
  </si>
  <si>
    <t>BINDI, Zainab</t>
  </si>
  <si>
    <t>MORIBA, Sulaiman</t>
  </si>
  <si>
    <t>JAKEMA, Fatmata</t>
  </si>
  <si>
    <t>NORMA, Moses Sahr</t>
  </si>
  <si>
    <t>TENGBEH, Bintu</t>
  </si>
  <si>
    <t>KARIMU, Mamie Bockarie</t>
  </si>
  <si>
    <t>FATORMA, Martha</t>
  </si>
  <si>
    <t>FODAY, Isatu</t>
  </si>
  <si>
    <t>FALLON, Adama</t>
  </si>
  <si>
    <t>ROGERS, Theresa</t>
  </si>
  <si>
    <t>BEAHAI, Rachael Isata James</t>
  </si>
  <si>
    <t>VAMBOI, Musu</t>
  </si>
  <si>
    <t>DAVIES, Mariama</t>
  </si>
  <si>
    <t>FODAY, Hawanatu</t>
  </si>
  <si>
    <t>SESAY, Salamatu</t>
  </si>
  <si>
    <t>KALLON, Alpha</t>
  </si>
  <si>
    <t>CONTEH, Titus</t>
  </si>
  <si>
    <t>GBONDO, Agness</t>
  </si>
  <si>
    <t>SWARAY, Theresa Foday</t>
  </si>
  <si>
    <t>BARBER, Jonathan</t>
  </si>
  <si>
    <t>ALPHA, Morison Momoh</t>
  </si>
  <si>
    <t>CONTEH, Karim</t>
  </si>
  <si>
    <t>FODAY, Regina A</t>
  </si>
  <si>
    <t>GBONDO, Elizabeth</t>
  </si>
  <si>
    <t>KPUKUMU, Titus</t>
  </si>
  <si>
    <t>WULAREH, Mafila A</t>
  </si>
  <si>
    <t>MOININA, James M</t>
  </si>
  <si>
    <t>MBAYO, Mariama</t>
  </si>
  <si>
    <t>BRIMA, Miatta</t>
  </si>
  <si>
    <t>MASSAQUOI, Henry E</t>
  </si>
  <si>
    <t>KOROMA, Patricia T</t>
  </si>
  <si>
    <t>MUSA, Ibrahim</t>
  </si>
  <si>
    <t>MALLAH, Fatmata Yayah</t>
  </si>
  <si>
    <t>JABATY, Moses Musa</t>
  </si>
  <si>
    <t>BENZO, Stella C</t>
  </si>
  <si>
    <t>THOLLEY, Alice</t>
  </si>
  <si>
    <t>DAVIES, Charllotte</t>
  </si>
  <si>
    <t>MORIBA, Janet J</t>
  </si>
  <si>
    <t>BARRIE, Abdulai</t>
  </si>
  <si>
    <t>ABDULAI, Josebeth M</t>
  </si>
  <si>
    <t>TAMBA, Abigail M</t>
  </si>
  <si>
    <t>FODAY, Isata Mary</t>
  </si>
  <si>
    <t>LAHAI, Sylvester</t>
  </si>
  <si>
    <t>KARMON, Harper Morlu</t>
  </si>
  <si>
    <t>BANGURA, Ibrahim</t>
  </si>
  <si>
    <t>MANSARAY, Alusine Michael</t>
  </si>
  <si>
    <t>BEAH, Mariama H</t>
  </si>
  <si>
    <t>FODAY, Alusine</t>
  </si>
  <si>
    <t>SHERIFF, Mohamed H</t>
  </si>
  <si>
    <t>BONNIE, Rosaline Kadija</t>
  </si>
  <si>
    <t>HIGHER DIPLOMA - BANKING &amp; FINANCE - 1ST YEAR</t>
  </si>
  <si>
    <t>KPANGE, Michaella Edna</t>
  </si>
  <si>
    <t>FINNOH, Mamie</t>
  </si>
  <si>
    <t>KAILIE, Sylvester</t>
  </si>
  <si>
    <t>KALLON, Viola Hawa</t>
  </si>
  <si>
    <t>KAILIE, Princess Nyambe</t>
  </si>
  <si>
    <t>JALLOH, Isata</t>
  </si>
  <si>
    <t>SOWA, Timothy Jr</t>
  </si>
  <si>
    <t>DARAMY, Mbalu T</t>
  </si>
  <si>
    <t xml:space="preserve">HIGHER DIPLOMA - HUMAN RESOURCE MANAGEMENT - 1ST YEAR </t>
  </si>
  <si>
    <t>FRENCH, Hawanatu</t>
  </si>
  <si>
    <t>SQUIRE, Joseph</t>
  </si>
  <si>
    <t>KAIN, Zainab Josephine</t>
  </si>
  <si>
    <t>HINDOWA, John</t>
  </si>
  <si>
    <t>BUNDU, Abibatu B</t>
  </si>
  <si>
    <t>BELLAY, Senesie A</t>
  </si>
  <si>
    <t>TUCKER, Maada James</t>
  </si>
  <si>
    <t>AGIBU, Gbouma Francis</t>
  </si>
  <si>
    <t>KOROMA, Abdulai Sama</t>
  </si>
  <si>
    <t>NALLO, Jusu</t>
  </si>
  <si>
    <t>MARRAH, Sallu</t>
  </si>
  <si>
    <t>MOSERAY, Satta</t>
  </si>
  <si>
    <t>KANIMA, Ibrahim Sheriff</t>
  </si>
  <si>
    <t>GBONGAY, Mohamed Soya</t>
  </si>
  <si>
    <t>GBERIE, Iyenatu</t>
  </si>
  <si>
    <t>AYEGBA, Abraham</t>
  </si>
  <si>
    <t>MANGUI, Rugiatu</t>
  </si>
  <si>
    <t>KAILIE, Salamatu</t>
  </si>
  <si>
    <t>MATTIA, Hawa</t>
  </si>
  <si>
    <t>NALLO, Abu</t>
  </si>
  <si>
    <t>BRIMA, Alie Vandi</t>
  </si>
  <si>
    <t>JALLOH, Esther Massah</t>
  </si>
  <si>
    <t xml:space="preserve">LAMIN, Janet </t>
  </si>
  <si>
    <t>SESAY, Martha</t>
  </si>
  <si>
    <t>ROGERS, Fatmata</t>
  </si>
  <si>
    <t>ROGERS, Rejoice Mbalu</t>
  </si>
  <si>
    <t>SAM, Ann Marie</t>
  </si>
  <si>
    <t>GBONDO, Mary Iye</t>
  </si>
  <si>
    <t>TUCKER, Mamusu</t>
  </si>
  <si>
    <t>KOROMA, Fatu</t>
  </si>
  <si>
    <t>SANDY, Moses</t>
  </si>
  <si>
    <t>SESAY, Kuriya</t>
  </si>
  <si>
    <t>KATTA, Francess S</t>
  </si>
  <si>
    <t>ALLIE, Christiana</t>
  </si>
  <si>
    <t>TURAY, Mohamed</t>
  </si>
  <si>
    <t>MORIE, Joseph K B</t>
  </si>
  <si>
    <t>KOROMA, Alieu</t>
  </si>
  <si>
    <t>GOMA, Sedique</t>
  </si>
  <si>
    <t>SANDY, Nancy J</t>
  </si>
  <si>
    <t>SESAY, Julius A</t>
  </si>
  <si>
    <t>ANSUMANA, Jeriba J</t>
  </si>
  <si>
    <t>BANGURA, Rachael M</t>
  </si>
  <si>
    <t>MUSTAPHA, David</t>
  </si>
  <si>
    <t>BOIMA, Mohamed M</t>
  </si>
  <si>
    <t>MORIBA, Denis J</t>
  </si>
  <si>
    <t>ADU, Robert</t>
  </si>
  <si>
    <t>GHAGARMA, Mariama Esther</t>
  </si>
  <si>
    <t>TUAH, Melvin Abu</t>
  </si>
  <si>
    <t>VANDY, Austina</t>
  </si>
  <si>
    <t>VANGAHUN, Princess</t>
  </si>
  <si>
    <t>KALLON, Kadiatu</t>
  </si>
  <si>
    <t>KOROMA, Rugiatu</t>
  </si>
  <si>
    <t>MUSA, Hannah Anita Christiana</t>
  </si>
  <si>
    <t>MASSAQUOI, Abdulai</t>
  </si>
  <si>
    <t>KAIYENGE, Tenneh Jennifer</t>
  </si>
  <si>
    <t>ALLIEU, Kadie</t>
  </si>
  <si>
    <t>SESAY, Augustine Ben</t>
  </si>
  <si>
    <t>DARAMY, Fanta</t>
  </si>
  <si>
    <t>SESAY, Elizabeth Massah</t>
  </si>
  <si>
    <t>LANSANA, Anthony Lamin</t>
  </si>
  <si>
    <t>SESAY, Mamusu</t>
  </si>
  <si>
    <t>SHERIFF, Moses Kenie</t>
  </si>
  <si>
    <t>SESAY, Kadiatu Patricia</t>
  </si>
  <si>
    <t>AMADU, George</t>
  </si>
  <si>
    <t>MBAVAI, William Nyakeh</t>
  </si>
  <si>
    <t>BOIMA, Grace P</t>
  </si>
  <si>
    <t>BAH,Tenneh</t>
  </si>
  <si>
    <t>MANSARAY, Marion</t>
  </si>
  <si>
    <t>SAMBA,Regina</t>
  </si>
  <si>
    <t>NYAKA, Mary Finda</t>
  </si>
  <si>
    <t>KOKOFELE, Fredrica</t>
  </si>
  <si>
    <t>BANGURA, Navo Emmanuella</t>
  </si>
  <si>
    <t>SMITH, Hellen</t>
  </si>
  <si>
    <t>ABU, John Michael</t>
  </si>
  <si>
    <t>NYAYEPEH, Adama</t>
  </si>
  <si>
    <t>JALLOH, Chernor</t>
  </si>
  <si>
    <t>COMBAY, Yusuf</t>
  </si>
  <si>
    <t>ANSUMANA, Daniel Morison</t>
  </si>
  <si>
    <t>BINDI, Ibrahim Fallah</t>
  </si>
  <si>
    <t>SANNOH, Rosaline F</t>
  </si>
  <si>
    <t>SENESIE, Sylvester</t>
  </si>
  <si>
    <t>LAMBOI, Michael Lamboi</t>
  </si>
  <si>
    <t>LEIGH, Haja Kadijatu</t>
  </si>
  <si>
    <t>JALLOH, Margaret Mariama</t>
  </si>
  <si>
    <t>CONTEH, Mariam Mushawnatu</t>
  </si>
  <si>
    <t>JALLOH, Kumba</t>
  </si>
  <si>
    <t>KALLAY, Mary Batu</t>
  </si>
  <si>
    <t>TOURE, Nana Lamin</t>
  </si>
  <si>
    <t>KOMBA, Hawa</t>
  </si>
  <si>
    <t>VONU, Edna Hawa</t>
  </si>
  <si>
    <t>LAHAI, Isata</t>
  </si>
  <si>
    <t>KAMARA, Masaratu Kadiatu</t>
  </si>
  <si>
    <t>MOININA, Lemoh</t>
  </si>
  <si>
    <t>SESAY, Karim</t>
  </si>
  <si>
    <t>MATTIA, Baindu Solomon</t>
  </si>
  <si>
    <t>MORGAN, Priness Daniella</t>
  </si>
  <si>
    <t>KPAKA, Mary Sia</t>
  </si>
  <si>
    <t>SESAY, Kadiatu</t>
  </si>
  <si>
    <t>LEBBIE, Vivian</t>
  </si>
  <si>
    <t>MANSARAY, Christiana</t>
  </si>
  <si>
    <t>PATRICKS, Cecilia Abigail</t>
  </si>
  <si>
    <t>CONTEH, Isha</t>
  </si>
  <si>
    <t>MANSARAY, Seray</t>
  </si>
  <si>
    <t>SHERIFF, Aminata</t>
  </si>
  <si>
    <t>KALLON, Aminata</t>
  </si>
  <si>
    <t>KORGBOU, Isatu</t>
  </si>
  <si>
    <t>SANDI, Naomi</t>
  </si>
  <si>
    <t>DARAMY, Menjoh</t>
  </si>
  <si>
    <t>DARAMY, Kadie</t>
  </si>
  <si>
    <t>LAHAI, Margaret Seinya</t>
  </si>
  <si>
    <t>GBONDO, Winstona Paula</t>
  </si>
  <si>
    <t>BUNDOR, Nansu</t>
  </si>
  <si>
    <t xml:space="preserve">SEI, Kadija Suba </t>
  </si>
  <si>
    <t>WEEM, Kadiatu</t>
  </si>
  <si>
    <t>SHEKU, Elizabeth</t>
  </si>
  <si>
    <t>KAMARA, Mariama Seray</t>
  </si>
  <si>
    <t>KAMARA, Sallay Cecelia</t>
  </si>
  <si>
    <t>FEIKA, Fatmata Mafoh</t>
  </si>
  <si>
    <t>KENNETH, Wuyanatu</t>
  </si>
  <si>
    <t>TURAY, Isha Yabor</t>
  </si>
  <si>
    <t>SYLVRINE, Josephine</t>
  </si>
  <si>
    <t>MANSARAY, Mariama</t>
  </si>
  <si>
    <t>BOCKARIE, Baindu</t>
  </si>
  <si>
    <t>MANSARAY, Hawa</t>
  </si>
  <si>
    <t>ARUNA, Jeneba Ngaiteh</t>
  </si>
  <si>
    <t>CONTEH, Isatu Rashida</t>
  </si>
  <si>
    <t>BOCKARIE, Hawanatu</t>
  </si>
  <si>
    <t>LAHAI, Theresa Tenneh</t>
  </si>
  <si>
    <t>MANSARAY, Hawanatu</t>
  </si>
  <si>
    <t>SAMBA, Beatrice</t>
  </si>
  <si>
    <t>BRIMA, Aminata</t>
  </si>
  <si>
    <t>KANDEH, Marian</t>
  </si>
  <si>
    <t>KOROMA, Rashidatu</t>
  </si>
  <si>
    <t>BARRIE, Hawa Sajor</t>
  </si>
  <si>
    <t>KAMARA, Mariama Saffa</t>
  </si>
  <si>
    <t>SANDIE, Esther</t>
  </si>
  <si>
    <t>ROGERS, Ibrahim Sahr</t>
  </si>
  <si>
    <t>SHERIFF, Alhaji M J</t>
  </si>
  <si>
    <t>LAMBOI, Fatmata Barrie</t>
  </si>
  <si>
    <t>KAMARA, Mariama Munda I</t>
  </si>
  <si>
    <t>KAMARA, Ruth I</t>
  </si>
  <si>
    <t>KAMARA, Ruth II</t>
  </si>
  <si>
    <t>KAMARA, Isha Josephine</t>
  </si>
  <si>
    <t>SOVULA, Jane</t>
  </si>
  <si>
    <t>DIPLOMA IN THEOLOGY - YEAR I - 2024/2025</t>
  </si>
  <si>
    <t>CERTIFICATE IN THEOLOGY - 1ST YEAR - 2024/2025</t>
  </si>
  <si>
    <t>MANSARAY, Fanta H A</t>
  </si>
  <si>
    <t>BIATY, Memunatu</t>
  </si>
  <si>
    <t>MANSARAY, Fanta</t>
  </si>
  <si>
    <t>BANGURA, Binta</t>
  </si>
  <si>
    <t>BANCE, Samuel</t>
  </si>
  <si>
    <t>BROWN, Innie</t>
  </si>
  <si>
    <t>DABO, Miatta Eunice Faith</t>
  </si>
  <si>
    <t>DAUDA, Ishmatu</t>
  </si>
  <si>
    <t>FATORMA, Foday</t>
  </si>
  <si>
    <t>FAYIA, Fanta</t>
  </si>
  <si>
    <t>GBLA, Joslin</t>
  </si>
  <si>
    <t>GOMA, Mariama</t>
  </si>
  <si>
    <t>HINDOWA, Regina</t>
  </si>
  <si>
    <t>JOE, Amie</t>
  </si>
  <si>
    <t>JOHN, Rosaline M</t>
  </si>
  <si>
    <t>JOHNSON, Princess Marian</t>
  </si>
  <si>
    <t>KALLON, Jattu</t>
  </si>
  <si>
    <t>KALLON, Nassu</t>
  </si>
  <si>
    <t>KAMARA, Deborah Lucy</t>
  </si>
  <si>
    <t>KEMOKAI, Hawanatu</t>
  </si>
  <si>
    <t>KPANGBAVIE, Alice</t>
  </si>
  <si>
    <t>KONDEH, Jenneh</t>
  </si>
  <si>
    <t>SANDY, Nafisatu T</t>
  </si>
  <si>
    <t>TURAY, Fatmata</t>
  </si>
  <si>
    <t>BOIMA, Hanna Luisa</t>
  </si>
  <si>
    <t>COMBAY, Isha Sitta</t>
  </si>
  <si>
    <t>KARGBO, Susan B</t>
  </si>
  <si>
    <t>KOROMA, Mariama</t>
  </si>
  <si>
    <t>MASSAQUOI, Isha</t>
  </si>
  <si>
    <t>YORPOI, Zainab</t>
  </si>
  <si>
    <t>DIPLOMA - NUTRITION &amp; DIETETICS - 1ST YEAR</t>
  </si>
  <si>
    <t>SELLU, Agnes M</t>
  </si>
  <si>
    <t>ALIE, Isaac Francis</t>
  </si>
  <si>
    <t>ARUNA, Paul</t>
  </si>
  <si>
    <t>BAH, Abubakarr Bailor</t>
  </si>
  <si>
    <t>BANGURA, Joseph Sorie</t>
  </si>
  <si>
    <t>FABIAN, Jato</t>
  </si>
  <si>
    <t>HARDING, Alfred</t>
  </si>
  <si>
    <t>JOHNSON, Frederick Babatunde dIONYSIUS</t>
  </si>
  <si>
    <t>JOHNSON, Sylvester Christopher</t>
  </si>
  <si>
    <t>KOROMA, Mohamed Brima</t>
  </si>
  <si>
    <t>KOROMA, Saidu Junisa</t>
  </si>
  <si>
    <t>LAMIN, Fayia</t>
  </si>
  <si>
    <t>MANSARAY, Victor Francis</t>
  </si>
  <si>
    <t>SESAY, Susan Hazel</t>
  </si>
  <si>
    <t>SWARRAY, Kabineh</t>
  </si>
  <si>
    <t>ALPHA, Mary</t>
  </si>
  <si>
    <t>GBONDA, Naomi Nancy</t>
  </si>
  <si>
    <t>JAH, Doris Yatta</t>
  </si>
  <si>
    <t>JUSU, Julius Sah</t>
  </si>
  <si>
    <t>KABBAH, Emmanuel Borwah</t>
  </si>
  <si>
    <t>MOIWA, Lucia Rose</t>
  </si>
  <si>
    <t>SAFFA, Judith Fawundu</t>
  </si>
  <si>
    <t>ALPHA, Semion Paul</t>
  </si>
  <si>
    <t>GREGORY, Fatu</t>
  </si>
  <si>
    <t>KAIN, Kama</t>
  </si>
  <si>
    <t>KAJUE, Paul</t>
  </si>
  <si>
    <t>LAVALIE, Samuel</t>
  </si>
  <si>
    <t>MANSARAY, Cecilia</t>
  </si>
  <si>
    <t>SESAY, Augusta</t>
  </si>
  <si>
    <t>WUDIE, Raymond Kamara</t>
  </si>
  <si>
    <t>FOFANAH, Mohamed</t>
  </si>
  <si>
    <t>SEIWOH, Jeneba</t>
  </si>
  <si>
    <t>SAMA, Betty</t>
  </si>
  <si>
    <t>KALLON, Moses Alfred Dauda</t>
  </si>
  <si>
    <t>KOROMA, Hawa Marian</t>
  </si>
  <si>
    <t>MOSERAY, Abdulai Brima</t>
  </si>
  <si>
    <t>MASSAQUOI, Betty</t>
  </si>
  <si>
    <t>KAMARA, Mariama Sia</t>
  </si>
  <si>
    <t>SOWA, Benediu M K</t>
  </si>
  <si>
    <t>MOIFORAY, Mabel</t>
  </si>
  <si>
    <t>STEVEN, Jaminatu</t>
  </si>
  <si>
    <t>EXPECTED FEES</t>
  </si>
  <si>
    <t>FEES PAID</t>
  </si>
  <si>
    <t>BALANCE</t>
  </si>
  <si>
    <t>ALIMAMYSamuel</t>
  </si>
  <si>
    <t>lANSANA Anthony Lamin</t>
  </si>
  <si>
    <t>KAMARA Kadiatu S.</t>
  </si>
  <si>
    <t>LAWAN Musa</t>
  </si>
  <si>
    <t>MANSARAY Alusine Michael</t>
  </si>
  <si>
    <t>MANNAH James M.</t>
  </si>
  <si>
    <t>SEDDU Finda Amie</t>
  </si>
  <si>
    <t>DIPLOMA - BUSINESS ADMINISTRATION - 1ST YEAR</t>
  </si>
  <si>
    <t>FOFANAH Kadiatu</t>
  </si>
  <si>
    <t>BAH Fatmata</t>
  </si>
  <si>
    <t>STEVEN Hope Kaday</t>
  </si>
  <si>
    <t>MOHAI Mohamed</t>
  </si>
  <si>
    <t>TAMBA Emmanuel</t>
  </si>
  <si>
    <t>KALLON Ibrahim</t>
  </si>
  <si>
    <t>MBAKILLA Esther</t>
  </si>
  <si>
    <t>BOIMA Lansana</t>
  </si>
  <si>
    <t>Farma Maada</t>
  </si>
  <si>
    <t>BUNDU Abibatu</t>
  </si>
  <si>
    <t>ROGERS Sylvester Baimba</t>
  </si>
  <si>
    <t>SESAY Abu</t>
  </si>
  <si>
    <t>SESAY Gladys</t>
  </si>
  <si>
    <t>TURAY Beatrice</t>
  </si>
  <si>
    <t>SESAY Elizabetg A</t>
  </si>
  <si>
    <t>Massaquoi Lucia</t>
  </si>
  <si>
    <t>MUSA Simeon Sheriff</t>
  </si>
  <si>
    <t>JOSIAH James Egujiama</t>
  </si>
  <si>
    <t>KAPPIA Albert Sanja</t>
  </si>
  <si>
    <t>MANSARAY Patricia</t>
  </si>
  <si>
    <t>KAMARA Mohamed</t>
  </si>
  <si>
    <t>NGEGBA Doris</t>
  </si>
  <si>
    <t>AMADU Mariama</t>
  </si>
  <si>
    <t>BOCKARIE, Agnes Maseray</t>
  </si>
  <si>
    <t>SANDY Andrew</t>
  </si>
  <si>
    <t>SESAY Mariama</t>
  </si>
  <si>
    <t>WEEKS Roland</t>
  </si>
  <si>
    <t>KABBA Martha</t>
  </si>
  <si>
    <t>BIATY Eve</t>
  </si>
  <si>
    <t>SAM Mohamed</t>
  </si>
  <si>
    <t>SAM John J.P.</t>
  </si>
  <si>
    <t>SESAY Hawa</t>
  </si>
  <si>
    <t>KAMARA Joshua</t>
  </si>
  <si>
    <t>BRIMA Emmanuel</t>
  </si>
  <si>
    <t>KAMARA Mariama</t>
  </si>
  <si>
    <t>BOLLON Alie</t>
  </si>
  <si>
    <t>KOROMA Marie</t>
  </si>
  <si>
    <t>MANHUNGBA Janet</t>
  </si>
  <si>
    <t>CARPENTER Ahmed Wilson</t>
  </si>
  <si>
    <t>MATAYAS Barbar</t>
  </si>
  <si>
    <t>MUSA Zainab</t>
  </si>
  <si>
    <t>MACAULEY Augustine</t>
  </si>
  <si>
    <t>KAIN Zainab J</t>
  </si>
  <si>
    <t>MAHDI Mbalu</t>
  </si>
  <si>
    <t>SELLU Emmanuel Tamba</t>
  </si>
  <si>
    <t>SESAY Emma</t>
  </si>
  <si>
    <t>SHERIFF Yayah</t>
  </si>
  <si>
    <t>KAMARA David</t>
  </si>
  <si>
    <t>ELLIE Wadia</t>
  </si>
  <si>
    <t>BINDI Momoh</t>
  </si>
  <si>
    <t>MATTIA Emmanuel</t>
  </si>
  <si>
    <t>MANSARAY Issa</t>
  </si>
  <si>
    <t>KANNEH Martina</t>
  </si>
  <si>
    <t>TENGA Rosaline Isata</t>
  </si>
  <si>
    <t>SANNOH Jennifer</t>
  </si>
  <si>
    <t>SHERIFF, Hawa</t>
  </si>
  <si>
    <t>KONDEH Fatmata</t>
  </si>
  <si>
    <t xml:space="preserve">KONUWA Sheku </t>
  </si>
  <si>
    <t>ROBERT Mary</t>
  </si>
  <si>
    <t>SHERIFF Mohamed H.</t>
  </si>
  <si>
    <t>MBAYO Mariama</t>
  </si>
  <si>
    <t>DIPLOMA -BANKING AND FINANCE - 2ND YEAR</t>
  </si>
  <si>
    <t>SAM Umaru Alfred</t>
  </si>
  <si>
    <t>KPEKAWA Ibrahim</t>
  </si>
  <si>
    <t>NYAMBE Philipson</t>
  </si>
  <si>
    <t>MONSURAY Damba Brima</t>
  </si>
  <si>
    <t>KONUWA Adama</t>
  </si>
  <si>
    <t>JENGO Elizabeth</t>
  </si>
  <si>
    <t>KALLON Hawa</t>
  </si>
  <si>
    <t>JALLOH Mamadu J.</t>
  </si>
  <si>
    <t>BANGURA John</t>
  </si>
  <si>
    <t>GEORGE Solomon</t>
  </si>
  <si>
    <t>CONTEH David</t>
  </si>
  <si>
    <t>SALLIA Saffa</t>
  </si>
  <si>
    <t>ROGERS Abdul</t>
  </si>
  <si>
    <t>MANSARAY Amid</t>
  </si>
  <si>
    <t>KAMARA Hassan Mohamed</t>
  </si>
  <si>
    <t>ARUNA Morison</t>
  </si>
  <si>
    <t>KAIKAI Andrew Hindolo</t>
  </si>
  <si>
    <t>KONDEH Umu</t>
  </si>
  <si>
    <t>HINDOWA Regina</t>
  </si>
  <si>
    <t>TARAWALLI Aminata Hamida</t>
  </si>
  <si>
    <t>GBONDO Victoria Feima</t>
  </si>
  <si>
    <t>FONNIE David Sheriff</t>
  </si>
  <si>
    <t>FOFANAH Jeremiah Sheku</t>
  </si>
  <si>
    <t>SANDI Andrew</t>
  </si>
  <si>
    <t>WAI Umunatu</t>
  </si>
  <si>
    <t>KAMARA Ezekiel</t>
  </si>
  <si>
    <t>LEBBIE Success Bartholomew</t>
  </si>
  <si>
    <t>SAM Emmanuel</t>
  </si>
  <si>
    <t>BOCKARIE Foday</t>
  </si>
  <si>
    <t>LUMEH Isata S.</t>
  </si>
  <si>
    <t>FARMA Fatmata</t>
  </si>
  <si>
    <t>SEI Mariama M.</t>
  </si>
  <si>
    <t>TUCKER John James Koivaya</t>
  </si>
  <si>
    <t>TANGA Jeneba Naomi</t>
  </si>
  <si>
    <t>KPAKA Hawa</t>
  </si>
  <si>
    <t>SESAY Christiana</t>
  </si>
  <si>
    <t>ALIEU David</t>
  </si>
  <si>
    <t>KOROMA Patricia T.</t>
  </si>
  <si>
    <t>MUSA Simeon Senesie</t>
  </si>
  <si>
    <t>JABATY Hawa</t>
  </si>
  <si>
    <t>GBONDO Theresa</t>
  </si>
  <si>
    <t>KOROMA Hawanatu</t>
  </si>
  <si>
    <t>JABATI Wutata</t>
  </si>
  <si>
    <t>GBONDA Ruth I.</t>
  </si>
  <si>
    <t>KOROMA Mary Kona</t>
  </si>
  <si>
    <t>SANDY Fatmata</t>
  </si>
  <si>
    <t>BAH Mohamed</t>
  </si>
  <si>
    <t>SHERIFF Ramatu</t>
  </si>
  <si>
    <t>FAYIA Umu</t>
  </si>
  <si>
    <t>YAYAH Sumah Alusine</t>
  </si>
  <si>
    <t>KALLON Tenneh</t>
  </si>
  <si>
    <t>MUSTAPHA Josephine</t>
  </si>
  <si>
    <t>SUNGU Agatha</t>
  </si>
  <si>
    <t>TOMMY Anita</t>
  </si>
  <si>
    <t>ROGERS Christopher</t>
  </si>
  <si>
    <t>KAMARA Hannah S.</t>
  </si>
  <si>
    <t>BULL, Sombo Mabel</t>
  </si>
  <si>
    <t>JAIAH Jannet Gifty</t>
  </si>
  <si>
    <t>SAMBA Betty</t>
  </si>
  <si>
    <t>SMITH Veronica Vivian</t>
  </si>
  <si>
    <t>SIMBO Peter Koroma</t>
  </si>
  <si>
    <t>JANGAH Sahr Emmanuel</t>
  </si>
  <si>
    <t>MANSARAY Hawa</t>
  </si>
  <si>
    <t>KARGBO Fatmata</t>
  </si>
  <si>
    <t>HIGHER DIPLOMA - ACCOUNTING - 2nd YEAR</t>
  </si>
  <si>
    <t>BOIMA Mohamed Monrovia</t>
  </si>
  <si>
    <t>WAGAY Bintu</t>
  </si>
  <si>
    <t>KAWA Deborah</t>
  </si>
  <si>
    <t>ABDUL-SHEREEFF, Umu</t>
  </si>
  <si>
    <t>AMARA, Agnes Rugiatu</t>
  </si>
  <si>
    <t>ANSUMANA, Mary Grace</t>
  </si>
  <si>
    <t>ANSUMANA, Mary Soko</t>
  </si>
  <si>
    <t>BAH, Lamrana</t>
  </si>
  <si>
    <t>BAH, Mariama I</t>
  </si>
  <si>
    <t>BANGALIE, Agness</t>
  </si>
  <si>
    <t>BANGALIE, Rashid</t>
  </si>
  <si>
    <t>BANGURA, Aminata</t>
  </si>
  <si>
    <t>BANGURA, Haja Yealie</t>
  </si>
  <si>
    <t>BANGURA, Kadijah Thomas</t>
  </si>
  <si>
    <t>BANGURA, Safinatu</t>
  </si>
  <si>
    <t>BAO, Fatmata Mohamed</t>
  </si>
  <si>
    <t>BARRIE, Aminata</t>
  </si>
  <si>
    <t>BARRIE, Mariama Dalanda</t>
  </si>
  <si>
    <t>BARRIE, Rubiatu Memunatu</t>
  </si>
  <si>
    <t>BINDI, Massah James</t>
  </si>
  <si>
    <t xml:space="preserve">BLAKE, Kadiatu Theresa  </t>
  </si>
  <si>
    <t>BOCKARIE, Hawa</t>
  </si>
  <si>
    <t>BOCKARIE, Sintia</t>
  </si>
  <si>
    <t>BOIMA, Elizabeth Gbessay</t>
  </si>
  <si>
    <t>BOIMA, Sylvia</t>
  </si>
  <si>
    <t>BRIMA, Musu Bintu</t>
  </si>
  <si>
    <t>BRIMA, Umu</t>
  </si>
  <si>
    <t>CAMPBELL, Esther</t>
  </si>
  <si>
    <t>COKER, Raymond</t>
  </si>
  <si>
    <t>COKER, Safiatu</t>
  </si>
  <si>
    <t>CONTEH, Isatu</t>
  </si>
  <si>
    <t>CONTEH, Rugiatu</t>
  </si>
  <si>
    <t>CONTEH, Zainab</t>
  </si>
  <si>
    <t>DEEN, Angella</t>
  </si>
  <si>
    <t>ELLIE, Mariama</t>
  </si>
  <si>
    <t>FEFEGULA, Aminata</t>
  </si>
  <si>
    <t>FEFEGULA, Christiana</t>
  </si>
  <si>
    <t>FEWRY, Naomi H</t>
  </si>
  <si>
    <t>FODAY, Michaella Jattu</t>
  </si>
  <si>
    <t>FOFANAH, Isatu</t>
  </si>
  <si>
    <t>FOFANAH, Zainab Musa</t>
  </si>
  <si>
    <t>GEORGE, Millicent</t>
  </si>
  <si>
    <t>JABATI, Elizabeth Jane</t>
  </si>
  <si>
    <t>JABATI, Elohie Moria</t>
  </si>
  <si>
    <t>JABATY, Rachel Mamie</t>
  </si>
  <si>
    <t>JALLOH, Binta</t>
  </si>
  <si>
    <t>JALLOH, Hawa</t>
  </si>
  <si>
    <t>JENGO, Catherine</t>
  </si>
  <si>
    <t>KALLON, Martha</t>
  </si>
  <si>
    <t>KAMANDA, Grace Mariama</t>
  </si>
  <si>
    <t>KAMARA, Abibatu Haja I</t>
  </si>
  <si>
    <t>KAMARA, Abibatu Haja II</t>
  </si>
  <si>
    <t>KAMARA, Bridjet</t>
  </si>
  <si>
    <t>KAMARA, Celina Monica</t>
  </si>
  <si>
    <t>KAMARA, Fatmata Mamie</t>
  </si>
  <si>
    <t>KAMARA, Francess</t>
  </si>
  <si>
    <t>KAMARA, Hawanatu</t>
  </si>
  <si>
    <t>KAMARA, Isatu Issanatu</t>
  </si>
  <si>
    <t>KAMARA, Maria</t>
  </si>
  <si>
    <t>KAMARA, Saudiatu</t>
  </si>
  <si>
    <t>KAMARA, Zainab</t>
  </si>
  <si>
    <t>KANU, Evelyn</t>
  </si>
  <si>
    <t>KARGBO, Fatmata</t>
  </si>
  <si>
    <t>KARGBO, Samuel Kemokoh</t>
  </si>
  <si>
    <t>KARGBO, Yeah</t>
  </si>
  <si>
    <t>KATTA, Anita</t>
  </si>
  <si>
    <t>KEBBIE, Hawa</t>
  </si>
  <si>
    <t>KEITA, Rugiatu</t>
  </si>
  <si>
    <t>KENDOR, Sia Makula</t>
  </si>
  <si>
    <t>KENNEH, Betty</t>
  </si>
  <si>
    <t>KING, Mariama</t>
  </si>
  <si>
    <t>KOBBA, Comfort</t>
  </si>
  <si>
    <t>KONNEH, Veronica</t>
  </si>
  <si>
    <t>KORMAYEA, Jestina</t>
  </si>
  <si>
    <t>KOROMA, Nanah Musu</t>
  </si>
  <si>
    <t>KOROMA, Sarah</t>
  </si>
  <si>
    <t>KOROMA, Zainab Tutu</t>
  </si>
  <si>
    <t>KPANABOM, Paul Maada</t>
  </si>
  <si>
    <t>KPOSOWA, Margaret Mamawa</t>
  </si>
  <si>
    <t>LAMIN, Bernadette</t>
  </si>
  <si>
    <t>LAMINA, Josephine Christiana Favour</t>
  </si>
  <si>
    <t>LANFORD, Sebatu</t>
  </si>
  <si>
    <t>LASSIE, James</t>
  </si>
  <si>
    <t>LEBBIE, Binty Small</t>
  </si>
  <si>
    <t>LEIGH, Zainab</t>
  </si>
  <si>
    <t>LEMOH, Isatu</t>
  </si>
  <si>
    <t>LUMEH, Esther</t>
  </si>
  <si>
    <t>MALLAH, Fatmata Jebbeh</t>
  </si>
  <si>
    <t>MANSARAY, Augusta</t>
  </si>
  <si>
    <t>MANSARAY, Isata</t>
  </si>
  <si>
    <t>MANSARAY, Isatu Ishmail</t>
  </si>
  <si>
    <t>MARGAI, Bridget Bandanya</t>
  </si>
  <si>
    <t>MARRAH, Mariama</t>
  </si>
  <si>
    <t>MASSAQUOI, Isata Theresa</t>
  </si>
  <si>
    <t>MASSAQUOI, Margaret</t>
  </si>
  <si>
    <t>MISSALIE, Ahmed</t>
  </si>
  <si>
    <t>MOMODU, Matinda Mundu</t>
  </si>
  <si>
    <t>MORIBA, Juliana Mamie</t>
  </si>
  <si>
    <t>MORRAY, Michaela</t>
  </si>
  <si>
    <t>MOSERAY, Augustina David</t>
  </si>
  <si>
    <t>MUSA, Agnes</t>
  </si>
  <si>
    <t>NGEGBA, Hawa</t>
  </si>
  <si>
    <t>NYANDEBO, Isata</t>
  </si>
  <si>
    <t>NYELENKEH, Glory Fatima</t>
  </si>
  <si>
    <t>PEKAUNYDE, Baindu</t>
  </si>
  <si>
    <t>PONGA, Patricia Amie</t>
  </si>
  <si>
    <t>SAIDU, Fatmata Esther</t>
  </si>
  <si>
    <t>SAIDU, Janet Zakan</t>
  </si>
  <si>
    <t>SALLIA, Princess Hassanatu</t>
  </si>
  <si>
    <t>SAMA, Princess Amie</t>
  </si>
  <si>
    <t>SAMAH, Monica</t>
  </si>
  <si>
    <t>SAMAI, Matilda</t>
  </si>
  <si>
    <t>SAMBA, Agnes Bernadette</t>
  </si>
  <si>
    <t>SANDI, Jamiru Peter</t>
  </si>
  <si>
    <t>SANKOH, Jeminatu</t>
  </si>
  <si>
    <t>SANNOH, Victoria</t>
  </si>
  <si>
    <t>SENGEH, Mariama Mary Collier</t>
  </si>
  <si>
    <t>SESAY, Alphanatu Magdalene</t>
  </si>
  <si>
    <t>SESAY, Fatima</t>
  </si>
  <si>
    <t>SESAY, Victoria Saffie</t>
  </si>
  <si>
    <t>SHEKU, Jeneba</t>
  </si>
  <si>
    <t>SHERIFF, Adama</t>
  </si>
  <si>
    <t>SHERIFF, Daniel Hindolo Augustine</t>
  </si>
  <si>
    <t>SHERIFF, Margaret</t>
  </si>
  <si>
    <t>SHERIFF, Marian Abu</t>
  </si>
  <si>
    <t>SHOUR, Isatu</t>
  </si>
  <si>
    <t>SIDIQUE, Victoria Manu</t>
  </si>
  <si>
    <t>SILLAH, Bintu Nancy</t>
  </si>
  <si>
    <t>SILLAH, Mariama</t>
  </si>
  <si>
    <t>SMITH, Siata Alice</t>
  </si>
  <si>
    <t>SORKPO, Fudia Boima</t>
  </si>
  <si>
    <t>SPAINE, Madiana Lyn</t>
  </si>
  <si>
    <t>SWARAY, Gertrude Mujeh</t>
  </si>
  <si>
    <t>SWARAY, Musu</t>
  </si>
  <si>
    <t>TARAWALLIE, Nyalay</t>
  </si>
  <si>
    <t>TOKOWA, Josephine</t>
  </si>
  <si>
    <t>WAI, Augusta Musu</t>
  </si>
  <si>
    <t>WILLIAMS, Elizabeth</t>
  </si>
  <si>
    <t>WONDAY, Marina</t>
  </si>
  <si>
    <t>SAFFA Smart</t>
  </si>
  <si>
    <t>NHGM</t>
  </si>
  <si>
    <t>MOMOH George Patrick Sabu</t>
  </si>
  <si>
    <t>KOROMA Wulaimatu</t>
  </si>
  <si>
    <t>Hanna Bona</t>
  </si>
  <si>
    <t>MANSARAY Foday</t>
  </si>
  <si>
    <t>KABBA Aminata</t>
  </si>
  <si>
    <t>KEBBIE Alfred</t>
  </si>
  <si>
    <t>JONNYMOORE Christopher</t>
  </si>
  <si>
    <t>LAMBOI Foday</t>
  </si>
  <si>
    <t>WILLIAMS James David</t>
  </si>
  <si>
    <t>JALLOH Saio Konkoro</t>
  </si>
  <si>
    <t>AGBEWANU Ganyo Favour</t>
  </si>
  <si>
    <t>KOROMA Sallu Bockarie</t>
  </si>
  <si>
    <t>SAM Julius</t>
  </si>
  <si>
    <t>BONA Elizabeth</t>
  </si>
  <si>
    <t>BINDI Josephine F.</t>
  </si>
  <si>
    <t>KAINESSIE Milton</t>
  </si>
  <si>
    <t>WEEKS Rolans</t>
  </si>
  <si>
    <t>MARAH Mulk Badiu</t>
  </si>
  <si>
    <t>STEVEN Sheriff</t>
  </si>
  <si>
    <t>MEHEMOH Halimatu</t>
  </si>
  <si>
    <t>MEHEMON Ibrahim</t>
  </si>
  <si>
    <t>TURAY Daniel Osman</t>
  </si>
  <si>
    <t>NDANEMA Mary</t>
  </si>
  <si>
    <t>ARUNA Princess Isata</t>
  </si>
  <si>
    <t>KPANGE Michael Kemoh</t>
  </si>
  <si>
    <t>TURAY Ibrahim</t>
  </si>
  <si>
    <t>KARGBO Mustapha</t>
  </si>
  <si>
    <t>SAMU David</t>
  </si>
  <si>
    <t>KAMARA Alie Joseph</t>
  </si>
  <si>
    <t>KUNGUBEH Emmanuel L.</t>
  </si>
  <si>
    <t>MANSARAY Jeneba</t>
  </si>
  <si>
    <t>SESAY Musa Idriss</t>
  </si>
  <si>
    <t>ROBINSON Fatmata Nickmum</t>
  </si>
  <si>
    <t>B.SC. AGRICULTURE - (PEACE &amp; DEVELOPMENT STUDIES OPTION) - 1st YEAR</t>
  </si>
  <si>
    <t>JOHNBULL Michael Harding</t>
  </si>
  <si>
    <t>B.SC. - POLITICAL SCIENCE OPTION - 3rd YEAR</t>
  </si>
  <si>
    <t>KEMOH Andrew Kenneth</t>
  </si>
  <si>
    <t>KAWA Maseray</t>
  </si>
  <si>
    <t>SESAY Blessing Aminata</t>
  </si>
  <si>
    <t>SELLU Agnes Mujeh</t>
  </si>
  <si>
    <t>KAMARA HAJA Betty</t>
  </si>
  <si>
    <t>MOSERAY Abdulai</t>
  </si>
  <si>
    <t>MANSARAY, Saio Victoria</t>
  </si>
  <si>
    <t>COMBAY Yusuf</t>
  </si>
  <si>
    <t>MOSERAY Weyatta</t>
  </si>
  <si>
    <t>SOMBI Abel Jusu</t>
  </si>
  <si>
    <t>LEBBIE Yeama</t>
  </si>
  <si>
    <t>SELLU Erica</t>
  </si>
  <si>
    <t>ANSUMANA Dauda Sheriff</t>
  </si>
  <si>
    <t>SQUIRE Joseph Holima</t>
  </si>
  <si>
    <t>JALLOH Isata</t>
  </si>
  <si>
    <t>MANSARAY Marina</t>
  </si>
  <si>
    <t>GANDI David N.</t>
  </si>
  <si>
    <t>SONDIMA Martin</t>
  </si>
  <si>
    <t>MORRAY Hassan B</t>
  </si>
  <si>
    <t>FOFANAH Aminata</t>
  </si>
  <si>
    <t>GEORGE Angela</t>
  </si>
  <si>
    <t>COKER Fatmata</t>
  </si>
  <si>
    <t>VANDI Brima Alie</t>
  </si>
  <si>
    <t>DEMBY Jeneba</t>
  </si>
  <si>
    <t>NALLO Mohamed S</t>
  </si>
  <si>
    <t>MOIFORAY Mabel</t>
  </si>
  <si>
    <t>BRIMA Martha Ruth</t>
  </si>
  <si>
    <t>MANSARAY Alimu</t>
  </si>
  <si>
    <t>ZOMBO Ibrahim Mohamed</t>
  </si>
  <si>
    <t>MANSARAY Brima</t>
  </si>
  <si>
    <t>MATTIA Francis Tamimu</t>
  </si>
  <si>
    <t>SMITH Anthony</t>
  </si>
  <si>
    <t>SESAY John</t>
  </si>
  <si>
    <t>SAM Daniel Hindowa</t>
  </si>
  <si>
    <t>AWAWORYI, Gifty S</t>
  </si>
  <si>
    <t>KAMARA, Catherine Blessing</t>
  </si>
  <si>
    <t>DIPLOMA IN THEOLOGY - 2ND YEAR - 2024/2025</t>
  </si>
  <si>
    <t>100% NHGM</t>
  </si>
  <si>
    <t>HIGHER TEACHER CERTIFICATE (SEC) -1st YEAR</t>
  </si>
  <si>
    <t>TOTAL PAID</t>
  </si>
  <si>
    <t>LISSA Mabel Hawa</t>
  </si>
  <si>
    <t>ALLIEU, Mariama</t>
  </si>
  <si>
    <t>HIGHER DIPLOMA - NUTRITION &amp; DIETETICS - 1ST YEAR</t>
  </si>
  <si>
    <t>KOROMA, Osman</t>
  </si>
  <si>
    <t>SAWI, Karvie C</t>
  </si>
  <si>
    <t>KAHUNWA, Umu Torleh</t>
  </si>
  <si>
    <t xml:space="preserve">LAMIN Sarah Dedeh </t>
  </si>
  <si>
    <t>Mansaray Hawa</t>
  </si>
  <si>
    <t>BACHELOR OF SCIENCE - AGRICULTURE (GENERAL) - 1ST YEAR - 2025/2026</t>
  </si>
  <si>
    <t>BACHELOR OF SCIENCE - AGRICULTURE (GENERAL) - 2nd YEAR - 2025/2026</t>
  </si>
  <si>
    <t>BACHELOR OF SCIENCE - AGRICULTURE (GENERAL) - 3rd YEAR - 2025/2026</t>
  </si>
  <si>
    <t>BACHELOR OF SCIENCE AGRICULTURE - DEVELOPMENT STUDIES - 3rd YEAR</t>
  </si>
  <si>
    <t>BACHELOR OF SCIENCE AGRICULTURE - DEVELOPMENT STUDIES - 2nd YEAR</t>
  </si>
  <si>
    <t>BACHELOR OF SCIENCE - DEVELOPMENT STUDIES - 4th YEAR</t>
  </si>
  <si>
    <t>BACHELOR OF SCIENCE - GENDER  DEVELOPMENT STUDIES -2nd YEAR</t>
  </si>
  <si>
    <t>B.SC. AGRICULTURE - (GENDER &amp; DEVELOPMENT STUDIES OPTION) - 3rd YEAR</t>
  </si>
  <si>
    <t>B.SC. AGRICULTURE - (PEACE &amp; DEVELOPMENT STUDIES OPTION) - 2nd YEAR</t>
  </si>
  <si>
    <t>B.SC. AGRICULTURE - (PEACE &amp; DEVELOPMENT STUDIES OPTION) - 3rd YEAR</t>
  </si>
  <si>
    <t>B.SC. AGRICULTURE - (PEACE &amp; DEVELOPMENT STUDIES OPTION) - 4th YEAR</t>
  </si>
  <si>
    <t>B.SC. AGRICULTURE - (RURAL DEVELOPMENT STUDIES OPTION) - 1st YEAR</t>
  </si>
  <si>
    <t>B.SC. AGRICULTURE - (RURAL DEVELOPMENT STUDIES OPTION) - 3rd YEAR</t>
  </si>
  <si>
    <t>B.SC. AGRICULTURE - (RURAL DEVELOPMENT STUDIES OPTION) - 4th YEAR</t>
  </si>
  <si>
    <t>B.SC. - POLITICAL SCIENCE OPTION - 2nd YEAR</t>
  </si>
  <si>
    <t>B.SC. - POLITICAL SCIENCE OPTION -4th YEAR</t>
  </si>
  <si>
    <t>B.SC. - INTERNATIONAL RELATIONS OPTION -1st YEAR</t>
  </si>
  <si>
    <t>B.SC. - INTERNATIONAL RELATIONS OPTION - 4th YEAR</t>
  </si>
  <si>
    <t>HIGHER DIPLOMA - COMMUNITY  DEVELOPMENT STUDIES - 2nd YEAR</t>
  </si>
  <si>
    <t>HIGHER DIPLOMA - COMMUNITY DEVELOPMENT STUDIES - 3rd YEAR</t>
  </si>
  <si>
    <t>DIPLOMA - COMMUNITY DEVELOPMENT  STUDIES -1st YEAR</t>
  </si>
  <si>
    <t>DIPLOMA - COMMUNITY DEVELOPMENT  STUDIES - 3rd YEAR</t>
  </si>
  <si>
    <t>BACHELOR OF SCIENCE - NUTRITION &amp; DIETETICS - 2nd YEAR</t>
  </si>
  <si>
    <t>HIGHER DIPLOMA - NUTRITION &amp; DIETETICS - 2nd YEAR</t>
  </si>
  <si>
    <t>DIPLOMA - NUTRITION &amp; DIETETICS - 2nd YEAR</t>
  </si>
  <si>
    <t>HIGHER DIPLOMA -AGRIC GENERAL - 2nd YEAR</t>
  </si>
  <si>
    <t>HIGHER DIPLOMA -AGRIC GENERAL - 1st YEAR</t>
  </si>
  <si>
    <t>BACHELOR OF SCIENCE - ACCOUNTING - 1ST YEAR - 2025/2025</t>
  </si>
  <si>
    <t>BACHELOR OF SCIENCE - ACCOUNTING - 2nd YEAR - 2025/2026</t>
  </si>
  <si>
    <t>BACHELOR OF SCIENCE - ACCOUNTING - 3rd YEAR - 2025/2026</t>
  </si>
  <si>
    <t>BACHELOR OF SCIENCE - ACCOUNTING - 4th YEAR</t>
  </si>
  <si>
    <t>BACHELOR OF SCIENCE - BANKING &amp; FINANCE - 2nd YEAR</t>
  </si>
  <si>
    <t>BACHELOR OF SCIENCE - BANKING &amp; FINANCE - 3rd YEAR</t>
  </si>
  <si>
    <t>BACHELOR OF SCIENCE - BANKING &amp; FINANCE -4th YEAR</t>
  </si>
  <si>
    <t>B.SC. HUMAN RESOURCE MANAGEMENT - 1ST YEAR - 2025/2026</t>
  </si>
  <si>
    <t>B.SC. HUMAN RESOURCE MANAGEMENT - 2nd YEAR - 2025/2026</t>
  </si>
  <si>
    <t>B.SC. HUMAN RESOURCE MANAGEMENT - 3rd YEAR</t>
  </si>
  <si>
    <t>B. SC. HUMAN RESOURCE MANAGEMENT - 4th YEAR</t>
  </si>
  <si>
    <t>B. SC BUSINESS ADMINISTRATION - 2nd YEAR</t>
  </si>
  <si>
    <t>B. SC. BUSINESS ADMINISTRATION - 3rd YEAR</t>
  </si>
  <si>
    <t>B. Sc BUSINESS ADMINISTRATION - 4th YEAR</t>
  </si>
  <si>
    <t>B. SC. PROCUREMENT &amp; LOGISTICS - 1ST YEAR - 2025/2026</t>
  </si>
  <si>
    <t>B. SC. PROCUREMENT &amp; LOGISTICS - 2nd YEAR - 2025/2026</t>
  </si>
  <si>
    <t>B. SC. PROCUREMENT &amp; LOGISTICS - 3rd YEAR - 2025/2026</t>
  </si>
  <si>
    <t>B. SC. PROCUREMENT &amp; LOGISTICS - 4th YEAR - 2025/2026</t>
  </si>
  <si>
    <t xml:space="preserve">B.SC. - SOCIAL WORK - 2ndYEAR </t>
  </si>
  <si>
    <t>B.SC. - SOCIAL WORK -3rd YEAR</t>
  </si>
  <si>
    <t xml:space="preserve">B.SC. - SOCIAL WORK - 4th YEAR </t>
  </si>
  <si>
    <t xml:space="preserve">B.SC. - SOCIOLOGY - 2nd YEAR </t>
  </si>
  <si>
    <t>HIGHER DIPLOMA - ACCOUNTING -3rd YEAR</t>
  </si>
  <si>
    <t>HIGHER DIPLOMA - BANKING &amp; FINANCE - 2nd YEAR</t>
  </si>
  <si>
    <t>HIGHER DIPLOMA - BUSINESS ADMINISTRATION - 2nd YEAR</t>
  </si>
  <si>
    <t>HIGHER DIPLOMA - BUSINESS ADMINISTRATION- 3rd YEAR</t>
  </si>
  <si>
    <t>HIGHER DIPLOMA - PROCUREMENT &amp; LOGISTICS - 2nd YEAR</t>
  </si>
  <si>
    <t>HIGHER DIPLOMA - PROCUREMENT &amp; LOGISTICS - 3rd YEAR</t>
  </si>
  <si>
    <t>HIGHER DIPLOMA - SOCIAL WORK - 2nd YEAR</t>
  </si>
  <si>
    <t xml:space="preserve">HIGHER DIPLOMA - HUMAN RESOURCE MANAGEMENT - 2nd YEAR </t>
  </si>
  <si>
    <t>DIPLOMA - PROCUREMENT &amp; LOGISTICS - 2nd YEAR</t>
  </si>
  <si>
    <t>DIPLOMA - BUSINESS ADMINISTRATION - 2nd YEAR</t>
  </si>
  <si>
    <t>DIPLOMA - HUMAN RESOURCE MANAGEMENT - 2nd YEAR</t>
  </si>
  <si>
    <t>BACHELOR OF SCIENCE - COMPUTER SCIENCE - 1ST YEAR - 2025/2026</t>
  </si>
  <si>
    <t>BACHELOR OF SCIENCE - COMPUTER SCIENCE - 2nd YEAR - 2025/2025</t>
  </si>
  <si>
    <t>BACHELOR OF SCIENCE - COMPUTER SCIENCE - 3rd YEAR - 2025/2025</t>
  </si>
  <si>
    <t>BACHELOR OF SCIENCE - COMPUTER SCIENCE - 4th YEAR - 2025/2026</t>
  </si>
  <si>
    <t>BACHELOR OF SCIENCE - BUSINESS &amp; INFO TECHNOLOGY - 1ST YEAR - 2025/2026</t>
  </si>
  <si>
    <t>BACHELOR OF SCIENCE - BUSINESS &amp; INFO TECHNOLOGY - 2nd YEAR - 2025/2026</t>
  </si>
  <si>
    <t>BACHELOR OF SCIENCE - BUSINESS &amp; INFO TECHNOLOGY - 3rd YEAR - 2025/2026</t>
  </si>
  <si>
    <t>BACHELOR OF SCIENCE - BUSINESS &amp; INFO TECHNOLOGY - 4th YEAR - 2025/2026</t>
  </si>
  <si>
    <t>BACHELOR OF SCIENCE - ELECTRONICS &amp; TELECOMMUNICATION - 2nd YEAR</t>
  </si>
  <si>
    <t>BACHELOR OF SCIENCE - ELECTRONICS &amp; TELECOMMUNICATION - 3rd YEAR</t>
  </si>
  <si>
    <t>HIGHER DIPLOMA - COMPUTER SCIENCE - 1ST YEAR - 2025/2026</t>
  </si>
  <si>
    <t>HIGHER DIPLOMA - COMPUTER SCIENCE - 2nd YEAR - 2025/2026</t>
  </si>
  <si>
    <t>HIGHER DIPLOMA - COMPUTER SCIENCE - 3rd YEAR - 2025/2026</t>
  </si>
  <si>
    <t>DIPLOMA - COMPUTER SCIENCE - 1ST YEAR - 2025/2026</t>
  </si>
  <si>
    <t>DIPLOMA - COMPUTER SCIENCE - 2ndYEAR - 2025/2026</t>
  </si>
  <si>
    <t>HIGHER DIPLOMA - ELECTRONICS &amp; TELECOMMUNICATION - 3rd  YEAR - 2025/2026</t>
  </si>
  <si>
    <t>BACHELOR OF SCIENCE - MASS COMMUNICATION - 1ST YEAR - 2025/2026</t>
  </si>
  <si>
    <t>BACHELOR OF SCIENCE - MASS COMMUNICATION - 2nd YEAR - 2025/2026</t>
  </si>
  <si>
    <t>BACHELOR OF SCIENCE - MASS COMMUNICATION - 3rd YEAR - 2025/2026</t>
  </si>
  <si>
    <t>HIGHER DIPLOMA - MASS COMMUNICATION - 1ST YEAR - 2025/2026</t>
  </si>
  <si>
    <t>HIGHER DIPLOMA - MASS COMMUNICATION - 2nd YEAR - 2025/2026</t>
  </si>
  <si>
    <t>HIGHER DIPLOMA - MASS COMMUNICATION - 3rd YEAR - 2025/2026</t>
  </si>
  <si>
    <t>DIPLOMA - ELECTRONICS &amp; TELECOMMUNICATION - 2nd YEAR - 2025/2026</t>
  </si>
  <si>
    <t>BACHELOR OF THEOLOGY - 1ST YEAR - 2025/2026</t>
  </si>
  <si>
    <t>BACHELOR OF THEOLOGY - 2nd YEAR - 2025/2026</t>
  </si>
  <si>
    <t>BACHELOR OF THEOLOGY - CHRISTIAN EDUCATION - 3rd YEAR - 2025/2026</t>
  </si>
  <si>
    <t>BACHELOR OF THEOLOGY - CHRISTIAN EDUCATION - 4th YEAR</t>
  </si>
  <si>
    <t>HIGHER DIPLOMA IN THEOLOGY - CHRISTIAN EDUCATION - 2nd YEAR</t>
  </si>
  <si>
    <t>BACHELOR OF SCIENCE - PUBLIC HEALTH - 2nd YEAR</t>
  </si>
  <si>
    <t>BACHELOR OF SCIENCE - PUBLIC HEALTH - 3rd YEAR</t>
  </si>
  <si>
    <t>BACHELOR OF SCIENCE - PUBLIC HEALTH - 4th YEAR</t>
  </si>
  <si>
    <t>HIGHER DIPLOMA - PUBLIC HEALTH - 2nd YEAR</t>
  </si>
  <si>
    <t>HIGHER DIPLOMA - PUBLIC HEALTH - 3rd YEAR</t>
  </si>
  <si>
    <t>DIPLOMA - PUBLIC HEALTH - 2nd YEAR</t>
  </si>
  <si>
    <t>BACHELOR OF EDUCATION - 1ST YEAR - 2025/2026</t>
  </si>
  <si>
    <t>BACHELOR OF EDUCATION - 2nd YEAR - 2025/2026</t>
  </si>
  <si>
    <t>BACHELOR OF EDUCATION - 3rd YEAR - 2025/2026</t>
  </si>
  <si>
    <t>BACHELOR OF EDUCATION - 4th YEAR</t>
  </si>
  <si>
    <t>HIGHER TEACHER CERTIFICATE (SEC) -2ndYEAR</t>
  </si>
  <si>
    <t>HIGHER TEACHER CERTIFICATE (SEC) - 3rd YEAR</t>
  </si>
  <si>
    <t>HIGHER TEACHER CERTIFICATE (PRIMARY) - 2nd YEAR</t>
  </si>
  <si>
    <t>HIGHER TEACHER CERTIFICATE (PRI) -  3rd YEAR</t>
  </si>
  <si>
    <t>TEACHER CERTIFICATE (TC) - 3rd YEAR - 2025/2026</t>
  </si>
  <si>
    <t>YAKAWA Christians</t>
  </si>
  <si>
    <t>SANNOH Safiatu</t>
  </si>
  <si>
    <t>BOIMA Anthony Musa</t>
  </si>
  <si>
    <t>KAMARA Harun Bashet</t>
  </si>
  <si>
    <t xml:space="preserve">KAMARA Solomon Saidu Deen </t>
  </si>
  <si>
    <t>HIGHER DIPLOMA - MASS COMMUNICATION - 4th YEAR - 2025/2026</t>
  </si>
  <si>
    <t>DIPLOMA - PUBLIC HEALTH - 3rd YEAR</t>
  </si>
  <si>
    <t>KOROMA Isatu Juana</t>
  </si>
  <si>
    <t>KOROMA Ibrahim</t>
  </si>
  <si>
    <t>SAIDI Mamie</t>
  </si>
  <si>
    <t>KONNEH Joseph Amara</t>
  </si>
  <si>
    <t>NALLO Lucinda</t>
  </si>
  <si>
    <t>AMADU Doris Emilia</t>
  </si>
  <si>
    <t>BONGAY Fatmata</t>
  </si>
  <si>
    <t>JOHN Lucinda</t>
  </si>
  <si>
    <t>Gandi Valentine</t>
  </si>
  <si>
    <t>PEKANYADE Hawanatu</t>
  </si>
  <si>
    <t>SANDI Ensa</t>
  </si>
  <si>
    <t>COKER Susan</t>
  </si>
  <si>
    <t>SESAY Josephine</t>
  </si>
  <si>
    <t>ALIMAMY Samuel</t>
  </si>
  <si>
    <t>ROGERS Henry</t>
  </si>
  <si>
    <t>KOROMA Steven</t>
  </si>
  <si>
    <t>BOCKARIE Amara</t>
  </si>
  <si>
    <t>KALLON Idrissa Moses</t>
  </si>
  <si>
    <t>TOMMY Ibrahim</t>
  </si>
  <si>
    <t>MUSA Maurice</t>
  </si>
  <si>
    <t>TURAY Maseray</t>
  </si>
  <si>
    <t>GEORGE Adama Theresa</t>
  </si>
  <si>
    <t>PESSIMA Amie</t>
  </si>
  <si>
    <t>DIPLOMA - ACCOUNTING - 1ST YEAR</t>
  </si>
  <si>
    <t>CHAMBA Mariama Finda</t>
  </si>
  <si>
    <t>ARUNA Emmanuella K.</t>
  </si>
  <si>
    <t>Total Fees Paid</t>
  </si>
  <si>
    <t>SONNAH Samuel M</t>
  </si>
  <si>
    <t>KEBBIE Magdalene</t>
  </si>
  <si>
    <t>KOROMA Mariama Abdulai</t>
  </si>
  <si>
    <t>ALPHA Josephus</t>
  </si>
  <si>
    <t>SESAY Fanta</t>
  </si>
  <si>
    <t>KAIPUMOH Christian Biankay</t>
  </si>
  <si>
    <t>CHARLES Junior</t>
  </si>
  <si>
    <t>TOMMY Osman Michael</t>
  </si>
  <si>
    <t>KAMARA Abibatu</t>
  </si>
  <si>
    <t>JAMES Gladys Hawa</t>
  </si>
  <si>
    <t>BAH Muctarr</t>
  </si>
  <si>
    <t>SESAY Umaru Nyakeh</t>
  </si>
  <si>
    <t>Distance</t>
  </si>
  <si>
    <t>CHARLIE Marian Muloma</t>
  </si>
  <si>
    <t>LAMINA Seibatu</t>
  </si>
  <si>
    <t>LAMIN Ansumana</t>
  </si>
  <si>
    <t>GBONDO Rose Miatta</t>
  </si>
  <si>
    <t>NYAMA Mabel</t>
  </si>
  <si>
    <t>JALLOH Fatmata Binta</t>
  </si>
  <si>
    <t>KONNEH Edmond Mustapha</t>
  </si>
  <si>
    <t>MATTIA Esther Tewoh</t>
  </si>
  <si>
    <t>MANSARAY Mohamed</t>
  </si>
  <si>
    <t>TIFFA Foday</t>
  </si>
  <si>
    <t>DAVIES Anthonette</t>
  </si>
  <si>
    <t>REGISTERED</t>
  </si>
  <si>
    <t>BOIMA Mary Susan</t>
  </si>
  <si>
    <t>JONES Esther</t>
  </si>
  <si>
    <t>SAMU Aminata A.</t>
  </si>
  <si>
    <t>TENGBEH Allieu Momoh</t>
  </si>
  <si>
    <t>ABDULAI Jaminatu</t>
  </si>
  <si>
    <t>BUNDU Millicent Nancy</t>
  </si>
  <si>
    <t>SANNOH Amelia</t>
  </si>
  <si>
    <t>CHARLES Jeneba</t>
  </si>
  <si>
    <t>VANDY Mary</t>
  </si>
  <si>
    <t>NGEGBEH Josben</t>
  </si>
  <si>
    <t>KAPPIA, Hindolo Tonya</t>
  </si>
  <si>
    <t>CONTEH Ishmael M</t>
  </si>
  <si>
    <t>FEIKA Ahmed G.</t>
  </si>
  <si>
    <t>VANDY Prosper Reynold</t>
  </si>
  <si>
    <t>MANSARAY Emmanuel Mohamed</t>
  </si>
  <si>
    <t>BOCKARIE Fatmata Blessing</t>
  </si>
  <si>
    <t>Registered</t>
  </si>
  <si>
    <t>BOIMAH Marian</t>
  </si>
  <si>
    <t>WILSON Philip Kemoh</t>
  </si>
  <si>
    <t>JALLOH Fatmata Taibu</t>
  </si>
  <si>
    <t>JANNEH Jestina</t>
  </si>
  <si>
    <t>FATORMA Isata</t>
  </si>
  <si>
    <t>SWARRAY Mohamed Mustapha</t>
  </si>
  <si>
    <t>SENESIE Adeline Rogers</t>
  </si>
  <si>
    <t>PUJEH Halimatu</t>
  </si>
  <si>
    <t>BANGURA Kadiatu Salieu</t>
  </si>
  <si>
    <t>KATTA Kadiatu</t>
  </si>
  <si>
    <t>AMARA Lahai</t>
  </si>
  <si>
    <t>Morlai Luba Albert</t>
  </si>
  <si>
    <t>THARMU Aminata</t>
  </si>
  <si>
    <t>BOCKARIE Aminata</t>
  </si>
  <si>
    <t>VANDI Fatmata</t>
  </si>
  <si>
    <t>KALLON Sando</t>
  </si>
  <si>
    <t>MUSA Francess K.</t>
  </si>
  <si>
    <t>BARRIE Jariatu</t>
  </si>
  <si>
    <t>MUSTAPHA Hussanatu</t>
  </si>
  <si>
    <t>KONNEH Patrick</t>
  </si>
  <si>
    <t>CURRENS Kpelen</t>
  </si>
  <si>
    <t>KONNEH Joseph</t>
  </si>
  <si>
    <t>NALLO Mohamed</t>
  </si>
  <si>
    <t>JAKEMA Mustapha K.</t>
  </si>
  <si>
    <t>LANSANA Vandi</t>
  </si>
  <si>
    <t>YOVONIE Barnabas</t>
  </si>
  <si>
    <t>FINNOH Lizza</t>
  </si>
  <si>
    <t>NALLO Isata Mattia</t>
  </si>
  <si>
    <t>KOROMA Haffisatu</t>
  </si>
  <si>
    <t>TOMMY Erica Sadia</t>
  </si>
  <si>
    <t>MANSARAY Isatu Jattu</t>
  </si>
  <si>
    <t>KAMARA Susan I</t>
  </si>
  <si>
    <t>NDANEMA Smart</t>
  </si>
  <si>
    <t>ASSAD Magnus</t>
  </si>
  <si>
    <t>MANSARAY Musu S.</t>
  </si>
  <si>
    <t>BRIMA Deborah Fatu</t>
  </si>
  <si>
    <t>KAITIBIE Rose Sitta</t>
  </si>
  <si>
    <t>CONTEH Mariama Blessed</t>
  </si>
  <si>
    <t>SOMBIE Dauda</t>
  </si>
  <si>
    <t>MUSTAPHA Kadiatu</t>
  </si>
  <si>
    <t>MORTU Fatmata</t>
  </si>
  <si>
    <t>SEFOI Isata M</t>
  </si>
  <si>
    <t>KALIE Alimatu Grace</t>
  </si>
  <si>
    <t>KAMARA Eddie Garrick</t>
  </si>
  <si>
    <t>MANSARAY Zainab</t>
  </si>
  <si>
    <t>JONGOPIE Francess</t>
  </si>
  <si>
    <t>ARUNA Eric Jr.</t>
  </si>
  <si>
    <t>SARTY Gassimu</t>
  </si>
  <si>
    <t>SESAY Mohamed</t>
  </si>
  <si>
    <t>KAMANDA Kadijah Sia</t>
  </si>
  <si>
    <t>MANNAH Abdul D. S.</t>
  </si>
  <si>
    <t>BARRIE Mariama</t>
  </si>
  <si>
    <t>HARDING Augusta Lucy</t>
  </si>
  <si>
    <t>AMARA Monfred Momoh</t>
  </si>
  <si>
    <t>ANSUMANA David Saidu</t>
  </si>
  <si>
    <t>MANNEH Omar Mustapha</t>
  </si>
  <si>
    <t>FARMA Aminata</t>
  </si>
  <si>
    <t>TEJAN Alice Betty</t>
  </si>
  <si>
    <t>SAIDU Margaret</t>
  </si>
  <si>
    <t>SESAY Bintu</t>
  </si>
  <si>
    <t>GASSIMU Rabamatu H.</t>
  </si>
  <si>
    <t>BREWA Job</t>
  </si>
  <si>
    <t>SANNOH Amelia Amie</t>
  </si>
  <si>
    <t>BABAWO Maseray</t>
  </si>
  <si>
    <t>SANKOH Marion</t>
  </si>
  <si>
    <t>MASSAQUOI Foday</t>
  </si>
  <si>
    <t>ANSUMANA Lamin</t>
  </si>
  <si>
    <t>KAITOR Haja</t>
  </si>
  <si>
    <t>KEMOKAI Ibrahim</t>
  </si>
  <si>
    <t>JUSU Mohamed</t>
  </si>
  <si>
    <t>WILLIAMS Kelvin D.E.</t>
  </si>
  <si>
    <t>KAINESSIE Josephine</t>
  </si>
  <si>
    <t>KORTU Joseph</t>
  </si>
  <si>
    <t>BACHELOR OF SCIENCE IN AGRICULTURE - GENDER DEVELOPMENT STUDIES - 1st YEAR</t>
  </si>
  <si>
    <t>KONNEH Hassan</t>
  </si>
  <si>
    <t>KAMARA Hannah K.</t>
  </si>
  <si>
    <t>HIGHER DIPLOMA - STATE REGISTERED NURSE (SRN) - 2ND YEAR</t>
  </si>
  <si>
    <t>HIGHER DIPLOMA - STATE REGISTERED NURSE (SRN) - 3RD YEAR</t>
  </si>
  <si>
    <t>ALLEN Simon</t>
  </si>
  <si>
    <t>MUSA Comfort Elona</t>
  </si>
  <si>
    <t>MORLU Narsu</t>
  </si>
  <si>
    <t>COOMBER Augusta Mamie</t>
  </si>
  <si>
    <t>MANSARAY John Phonday</t>
  </si>
  <si>
    <t>CONTEH Alusine Leonard</t>
  </si>
  <si>
    <t>CHARLES Gassimu</t>
  </si>
  <si>
    <t>KOROMA Hassan</t>
  </si>
  <si>
    <t>CONTEH Francis Leonard</t>
  </si>
  <si>
    <t>LUKULAY Mohamed</t>
  </si>
  <si>
    <t>KEWULLAY Abdulrahman James</t>
  </si>
  <si>
    <t>KABBA Joseph Amodu</t>
  </si>
  <si>
    <t>ROGERS Sadiatu Lubba</t>
  </si>
  <si>
    <t>JAKEMA Samai</t>
  </si>
  <si>
    <t>CONTEH Umunatu</t>
  </si>
  <si>
    <t>BANGALIE Julius</t>
  </si>
  <si>
    <t>AMARA Lamin A.</t>
  </si>
  <si>
    <t>SESAY Isatu Jeneba</t>
  </si>
  <si>
    <t>ELLIE Francess</t>
  </si>
  <si>
    <t>FARMA Alfred Mbappe</t>
  </si>
  <si>
    <t>CHARLES Hawanatu</t>
  </si>
  <si>
    <t>KAMARA Samuel</t>
  </si>
  <si>
    <t>MORIWAI Sheku Soloman</t>
  </si>
  <si>
    <t>SANKOH Aminata</t>
  </si>
  <si>
    <t>SMART Ramatu</t>
  </si>
  <si>
    <t>KAMARA Jariatu Mohamed</t>
  </si>
  <si>
    <t>KAMARA Betty</t>
  </si>
  <si>
    <t>VANDY Raymond Junior</t>
  </si>
  <si>
    <t>BANGALIE Ansumana</t>
  </si>
  <si>
    <t>BARRIE Haja Adama</t>
  </si>
  <si>
    <t>ANSUMANA Peter</t>
  </si>
  <si>
    <t>MEWAH Ansu</t>
  </si>
  <si>
    <t>SANDY Phebean</t>
  </si>
  <si>
    <t>AMARA Mariama</t>
  </si>
  <si>
    <t>BAWOH UMU</t>
  </si>
  <si>
    <t>MATTIA Isata</t>
  </si>
  <si>
    <t>GAIMA Marie</t>
  </si>
  <si>
    <t>REG</t>
  </si>
  <si>
    <t>MUSA Theresa Nasu</t>
  </si>
  <si>
    <t>JAH Judith</t>
  </si>
  <si>
    <t>ANSUMANA Sarah Sombo</t>
  </si>
  <si>
    <t>NGAOJIA Elizabeth</t>
  </si>
  <si>
    <t>SAMMAH Hawa Gbotie</t>
  </si>
  <si>
    <t>BUNDUKA Kelvis J. T.</t>
  </si>
  <si>
    <t>Reg</t>
  </si>
  <si>
    <t>LUSENI Gina Ruth</t>
  </si>
  <si>
    <t>MOIJUEH Mariama</t>
  </si>
  <si>
    <t>KAMARA Umu</t>
  </si>
  <si>
    <t>KOROMA Alice</t>
  </si>
  <si>
    <t>BOIMA Mary</t>
  </si>
  <si>
    <t>SENGU Juliet</t>
  </si>
  <si>
    <t>SMITH Cecilia</t>
  </si>
  <si>
    <t>SOLOMON Isata</t>
  </si>
  <si>
    <t>SENESIE Elizabeth Isha</t>
  </si>
  <si>
    <t>KAMARA Kadiatu</t>
  </si>
  <si>
    <t>JALLOH Muminatu</t>
  </si>
  <si>
    <t>KONJOH Bridget</t>
  </si>
  <si>
    <t>SAM Matilda Blessing</t>
  </si>
  <si>
    <t>KAMARA Mabinty</t>
  </si>
  <si>
    <t>SWARRAY Baindu</t>
  </si>
  <si>
    <t>MORIBA Abdul</t>
  </si>
  <si>
    <t>GEORGE Lansana</t>
  </si>
  <si>
    <t>ROGERS Isata</t>
  </si>
  <si>
    <t>BUNDU Julius K</t>
  </si>
  <si>
    <t>YARJAH Naomi</t>
  </si>
  <si>
    <t>BAION Elizabeth</t>
  </si>
  <si>
    <t>SESAY Mariatu</t>
  </si>
  <si>
    <t>DUMBUYA Alice Moore</t>
  </si>
  <si>
    <t>KAMARA Gladys M.</t>
  </si>
  <si>
    <t>DEMBY Mattia Mary</t>
  </si>
  <si>
    <t>SHERIFF Zainab</t>
  </si>
  <si>
    <t>KEBBIE Gladys</t>
  </si>
  <si>
    <t>TOTANGIE Margaret Fatu</t>
  </si>
  <si>
    <t>KAMARA Fatmata</t>
  </si>
  <si>
    <t xml:space="preserve"> </t>
  </si>
  <si>
    <t>MANSARAY Matilda Fatima</t>
  </si>
  <si>
    <t>BOCKARIE Paul</t>
  </si>
  <si>
    <t>SOWA Rosaline F</t>
  </si>
  <si>
    <t>MBAWAH Victor</t>
  </si>
  <si>
    <t>KAMARA Rukie</t>
  </si>
  <si>
    <t>SESAY Fudia</t>
  </si>
  <si>
    <t>JALLOH Rugiatu</t>
  </si>
  <si>
    <t>study defered to 2026/2027 academic year</t>
  </si>
  <si>
    <t>KAMARA Hassanatu</t>
  </si>
  <si>
    <t>BASHIRU Isata</t>
  </si>
  <si>
    <t>Reg. Fees overpaid in Yr1 brought forward Le1232</t>
  </si>
  <si>
    <t>SULAIMAN Alpha</t>
  </si>
  <si>
    <t>KALLON Aminata</t>
  </si>
  <si>
    <t>NGELE David</t>
  </si>
  <si>
    <t>KAIKAI Andrew</t>
  </si>
  <si>
    <t>registered</t>
  </si>
  <si>
    <t>BANGALIE Kadie</t>
  </si>
  <si>
    <t>VELLA Hustine BM</t>
  </si>
  <si>
    <t>NALLO Osman Allieu</t>
  </si>
  <si>
    <t>MATTURIE Augusta Sia</t>
  </si>
  <si>
    <t>BANGURA Musa</t>
  </si>
  <si>
    <t>BANGURA Abubakarr</t>
  </si>
  <si>
    <t>SARTIE Gassimu</t>
  </si>
  <si>
    <t>MOMOH Gbessey</t>
  </si>
  <si>
    <t>LAHAI Solomon</t>
  </si>
  <si>
    <t>GONO Mariama N</t>
  </si>
  <si>
    <t>PATRICK Issa</t>
  </si>
  <si>
    <t>Fees overpaid in Yr2 brought forward Le3,374 -Reg.</t>
  </si>
  <si>
    <t>SIMBO Margaret</t>
  </si>
  <si>
    <t>Fees overpaid in Yr2 brought forward Le1,416 -Reg</t>
  </si>
  <si>
    <t>COLE Thelma</t>
  </si>
  <si>
    <t>KANU Fatmata</t>
  </si>
  <si>
    <t>SONGA Betty</t>
  </si>
  <si>
    <t>LANSANA Jeneba Mercy</t>
  </si>
  <si>
    <t>Admitted into year two - Reg</t>
  </si>
  <si>
    <t>Owe Le60</t>
  </si>
  <si>
    <t>KOROMA Mariama</t>
  </si>
  <si>
    <t>KAMARA Joesai Kallay</t>
  </si>
  <si>
    <t>Reg - NEW</t>
  </si>
  <si>
    <t>Admitted into year 2 Reg</t>
  </si>
  <si>
    <t>Bal 2090 Penyekie</t>
  </si>
  <si>
    <t>KAINDANEH Sullay</t>
  </si>
  <si>
    <t>KARGBO Huldah</t>
  </si>
  <si>
    <t>LAHAI Ambrose</t>
  </si>
  <si>
    <t>SANDI Sama Muctarr Theo</t>
  </si>
  <si>
    <t>SYNDEH Iye</t>
  </si>
  <si>
    <t>KOROMA Mustapha</t>
  </si>
  <si>
    <t>GASSIMU Kadie</t>
  </si>
  <si>
    <t>Disable - Reg</t>
  </si>
  <si>
    <t xml:space="preserve">KAMARA, David </t>
  </si>
  <si>
    <t>SMITH Mariama</t>
  </si>
  <si>
    <t>KAMARA Gladys M. 2</t>
  </si>
  <si>
    <t>KENNEH Bintu S.</t>
  </si>
  <si>
    <t>BUANIE Theresa</t>
  </si>
  <si>
    <t>Registration</t>
  </si>
  <si>
    <t>CHAM Nyuma</t>
  </si>
  <si>
    <t>MASSAQUOI Alicious</t>
  </si>
  <si>
    <t>LISSA Joseph A</t>
  </si>
  <si>
    <t>LANSANA Faith</t>
  </si>
  <si>
    <t>MORIE Bockarie</t>
  </si>
  <si>
    <t>KALLAY Ann Marie</t>
  </si>
  <si>
    <t>NDOINJEH MARIA FAVOUR</t>
  </si>
  <si>
    <t>FOFANAH Aminata Mary</t>
  </si>
  <si>
    <t>New - REGISTERED</t>
  </si>
  <si>
    <t>Cont - REG</t>
  </si>
  <si>
    <t>MASSAQUOI Genevieve</t>
  </si>
  <si>
    <t>BAH Emma Isatu</t>
  </si>
  <si>
    <t>TUCKER Solomon Ashun</t>
  </si>
  <si>
    <t>GOBA Sam B.</t>
  </si>
  <si>
    <t>KPAKA Mustapha</t>
  </si>
  <si>
    <t>BAYOH Fanta Magdalene</t>
  </si>
  <si>
    <t>SAIDU Solomon</t>
  </si>
  <si>
    <t>MOSERAY George</t>
  </si>
  <si>
    <t>SORSORWAH Joseph Denis</t>
  </si>
  <si>
    <t>BAH Mariama D</t>
  </si>
  <si>
    <t>WILLIAMS Christiana Sudi</t>
  </si>
  <si>
    <t>New - Registered</t>
  </si>
  <si>
    <t/>
  </si>
  <si>
    <t>BREWAH Hassanata</t>
  </si>
  <si>
    <t>Arrear of Le360</t>
  </si>
  <si>
    <t>NHGM Reg</t>
  </si>
  <si>
    <t>Brought forward of Le1116 - Reg</t>
  </si>
  <si>
    <t>To confirm whether Tholley paid the difference of Le1548</t>
  </si>
  <si>
    <t>Jalloh Safinatu</t>
  </si>
  <si>
    <t xml:space="preserve">WURIE Rugiatu Salamatu Daizy </t>
  </si>
  <si>
    <t>DAVIES Grace Adama</t>
  </si>
  <si>
    <t>PAUL Elizabeth Baindu</t>
  </si>
  <si>
    <t>GEORGE Susan</t>
  </si>
  <si>
    <t>BANGURA Umaru</t>
  </si>
  <si>
    <t>Arrear of Le329</t>
  </si>
  <si>
    <t>LAGGAH Samuel J</t>
  </si>
  <si>
    <t>Brought forward Le1,347 reg</t>
  </si>
  <si>
    <t>KARGBO Fatmata Esther</t>
  </si>
  <si>
    <t>KABIA Alie Mohamed</t>
  </si>
  <si>
    <t>Outstanding Le1320 - REG</t>
  </si>
  <si>
    <t>KAMARA James</t>
  </si>
  <si>
    <t>LAHAI Ansumana</t>
  </si>
  <si>
    <t>New</t>
  </si>
  <si>
    <t>SAFFA Kadiatu</t>
  </si>
  <si>
    <t>LUSENIE Isata</t>
  </si>
  <si>
    <t>DUMBUYA Ansu</t>
  </si>
  <si>
    <t>KEMOKAI Edward Abdulai</t>
  </si>
  <si>
    <t>MEHEMOH Alhaji Ibrahim</t>
  </si>
  <si>
    <t>KABIA Saffiatu</t>
  </si>
  <si>
    <t>Fees overpaid in Yr2 brought forward Le916-REG</t>
  </si>
  <si>
    <t>Arear of Le2040-REG</t>
  </si>
  <si>
    <t>Arear of Le1000-REG</t>
  </si>
  <si>
    <t>Arear of Le860 - Reg</t>
  </si>
  <si>
    <t>Marrah Ibrahim Kalilu</t>
  </si>
  <si>
    <t>Arear Le 3,198</t>
  </si>
  <si>
    <t>To confirm payment of Le1000 for last academic year</t>
  </si>
  <si>
    <t>LEWIS Emmanuel Michael</t>
  </si>
  <si>
    <t>to investigate undertaking by Rev Feimah for outstanding of Le1824</t>
  </si>
  <si>
    <t>Arear of Le1048</t>
  </si>
  <si>
    <t xml:space="preserve">New - </t>
  </si>
  <si>
    <t>JOSIAH Davida J.</t>
  </si>
  <si>
    <t>ERINFOLAMI Olawumi</t>
  </si>
  <si>
    <t>2319 to confirm payment for last year</t>
  </si>
  <si>
    <t>FEIKA Mustapha</t>
  </si>
  <si>
    <t>JOHN Josephine Seibatu</t>
  </si>
  <si>
    <t>BRIMA Philip</t>
  </si>
  <si>
    <t>SESAY Mary</t>
  </si>
  <si>
    <t>AMARA Abdulrahman</t>
  </si>
  <si>
    <t>BUNDU, Isha</t>
  </si>
  <si>
    <t>SESAY Adama</t>
  </si>
  <si>
    <t>Mamie Boima</t>
  </si>
  <si>
    <t>KOROMA Fatu</t>
  </si>
  <si>
    <t xml:space="preserve">SESAY Issa </t>
  </si>
  <si>
    <t>NHGM -884</t>
  </si>
  <si>
    <t>BARRIE Aminata</t>
  </si>
  <si>
    <t>SOGBANDI Lahai Amara</t>
  </si>
  <si>
    <t>KABBA Mohamed</t>
  </si>
  <si>
    <t>BANGURA Marion Fatu</t>
  </si>
  <si>
    <t>BARRIE Eliosu</t>
  </si>
  <si>
    <t>BICKERSTETH Esther</t>
  </si>
  <si>
    <t xml:space="preserve">KOKER Hawa Hannah </t>
  </si>
  <si>
    <t>JANNEH Mariama</t>
  </si>
  <si>
    <t>KABBA Angeline Matilda</t>
  </si>
  <si>
    <t>KABBA Kadiatu</t>
  </si>
  <si>
    <t>KALLON Winnie G. A</t>
  </si>
  <si>
    <t>KAMARA Lamrana</t>
  </si>
  <si>
    <t>KONNEH Fatmata</t>
  </si>
  <si>
    <t>KOROMA Onikeh</t>
  </si>
  <si>
    <t>KOROMA Zainab</t>
  </si>
  <si>
    <t>LAMIN Fatmata</t>
  </si>
  <si>
    <t>LEMOH Sudie M.</t>
  </si>
  <si>
    <t>LOMEH Jeneba</t>
  </si>
  <si>
    <t>SILLAH Alie</t>
  </si>
  <si>
    <t>THORONKA Lamarana</t>
  </si>
  <si>
    <t>VANDI Magdalene</t>
  </si>
  <si>
    <t>WANGA Rebecca Alice</t>
  </si>
  <si>
    <t>KHAN Gitta</t>
  </si>
  <si>
    <t>Receipt hard copy to be presented. Pic of bank slip seen</t>
  </si>
  <si>
    <t>HONNAH Henrietta</t>
  </si>
  <si>
    <t>SHOUR Hassanatu</t>
  </si>
  <si>
    <t>Fees Paid</t>
  </si>
  <si>
    <t>KOROMA Kelfala</t>
  </si>
  <si>
    <t>New Student</t>
  </si>
  <si>
    <t>SESAY Bobson Emmanuel</t>
  </si>
  <si>
    <t>FARMA Magdalene M</t>
  </si>
  <si>
    <t>Proprietor</t>
  </si>
  <si>
    <t>FRANCIS Bintu Kayonga</t>
  </si>
  <si>
    <t>KAMARA BABAH</t>
  </si>
  <si>
    <t>BASHIRU Agnes</t>
  </si>
  <si>
    <t>Fees verified</t>
  </si>
  <si>
    <t>To bring original slip for Le1540</t>
  </si>
  <si>
    <t>LANSANA, Sallieu Joseph</t>
  </si>
  <si>
    <t>YAMBA James Julius</t>
  </si>
  <si>
    <t>Surplus fees of Le1,671 in 2024/25 of Le1456 carried over to offset current fees balance</t>
  </si>
  <si>
    <t>ABDULAI Fatima Isha</t>
  </si>
  <si>
    <t>BOCKARIE, Safinatu</t>
  </si>
  <si>
    <t>BOIMA Abibatu</t>
  </si>
  <si>
    <t>KAMARA, Safinatu</t>
  </si>
  <si>
    <t>2025/2026</t>
  </si>
  <si>
    <t>Registered/2</t>
  </si>
  <si>
    <t>Gbao Daniel</t>
  </si>
  <si>
    <t>MALPRACTICE</t>
  </si>
  <si>
    <t>MALPRACTICE/RUSTICATED</t>
  </si>
  <si>
    <t>To bring receipts to verify 2024/25 payments</t>
  </si>
  <si>
    <t>MANSARAY, Francess</t>
  </si>
  <si>
    <t>BACHELOR OF SCIENCE - AGRICULTURE (GENERAL) - 4th YEAR - 2025/2026</t>
  </si>
  <si>
    <t>RUSTICATED FOR 1 YEAR</t>
  </si>
  <si>
    <t>Registered EXCESS PAYMENT B/F</t>
  </si>
  <si>
    <t xml:space="preserve">VAMBOI Lucy </t>
  </si>
  <si>
    <t>EXCESS PAYMENT B/F</t>
  </si>
  <si>
    <t>Repeating Comprehensive</t>
  </si>
  <si>
    <t>MANSARAY Francess Fatmata</t>
  </si>
  <si>
    <t>RUSTICATED</t>
  </si>
  <si>
    <t>Transition from HND to BSc. Difference in fees for 1st to 3rd year isL1073. Reg/2</t>
  </si>
  <si>
    <t>Mum to pay Next week</t>
  </si>
  <si>
    <t>MOKUWA Esther Sonia</t>
  </si>
  <si>
    <t>Fees B/F</t>
  </si>
  <si>
    <t>no fees yr 1 and 2</t>
  </si>
  <si>
    <t>Masiaka</t>
  </si>
  <si>
    <t>YAKAWA Christiana</t>
  </si>
  <si>
    <t>Pst. Rogers</t>
  </si>
  <si>
    <t>KABBA Kamoh</t>
  </si>
  <si>
    <t>LUMEH Madie</t>
  </si>
  <si>
    <t>Excess fees paid in 2024/25 carried over to 2025/26 Le999-Reg/2</t>
  </si>
  <si>
    <t>FD</t>
  </si>
  <si>
    <t>ROSE</t>
  </si>
  <si>
    <t>Check</t>
  </si>
  <si>
    <t>check</t>
  </si>
  <si>
    <t>J.LAHAI</t>
  </si>
  <si>
    <t>Registered/RUSTICATED</t>
  </si>
  <si>
    <t>SANDI Naomi</t>
  </si>
  <si>
    <t>,,</t>
  </si>
  <si>
    <t>REGISTERED/2</t>
  </si>
  <si>
    <t>TARAWALIE Adama</t>
  </si>
  <si>
    <t>Admitted into year two - Reg/2</t>
  </si>
  <si>
    <t>Arrear Le1424 Reg/2</t>
  </si>
  <si>
    <t>STOLEN</t>
  </si>
  <si>
    <t>SHAW Miatta Sia</t>
  </si>
  <si>
    <t>MANSARAY Aminata</t>
  </si>
  <si>
    <t>TEJAN-KARGBO, Abibatu</t>
  </si>
  <si>
    <t>K+B328:B329PAKA, Charles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</si>
</sst>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43" formatCode="_-* #,##0.00_-;\-* #,##0.00_-;_-* &quot;-&quot;??_-;_-@_-"/>
  </numFmts>
  <fonts count="37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sz val="12"/>
      <name val="Times New Roman"/>
      <family val="1"/>
    </font>
    <font>
      <b/>
      <sz val="10"/>
      <name val="Tahoma"/>
      <family val="2"/>
    </font>
    <font>
      <sz val="12"/>
      <name val="Arial"/>
      <family val="2"/>
    </font>
    <font>
      <sz val="12"/>
      <color theme="1"/>
      <name val="Tahoma"/>
      <family val="2"/>
    </font>
    <font>
      <sz val="11"/>
      <name val="Tahoma"/>
      <family val="2"/>
    </font>
    <font>
      <sz val="12"/>
      <color theme="1"/>
      <name val="Arial"/>
      <family val="2"/>
    </font>
    <font>
      <b/>
      <sz val="11"/>
      <name val="Tahoma"/>
      <family val="2"/>
    </font>
    <font>
      <sz val="11"/>
      <color theme="1"/>
      <name val="Arial"/>
      <family val="2"/>
    </font>
    <font>
      <sz val="11"/>
      <color theme="1"/>
      <name val="Tahoma"/>
      <family val="2"/>
    </font>
    <font>
      <sz val="11"/>
      <name val="Times New Roman"/>
      <family val="1"/>
    </font>
    <font>
      <sz val="11"/>
      <name val="Arial"/>
      <family val="2"/>
    </font>
    <font>
      <sz val="12"/>
      <color rgb="FFFF000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Times New Roman"/>
      <family val="1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Tahoma"/>
      <family val="2"/>
    </font>
    <font>
      <b/>
      <sz val="12"/>
      <color theme="1"/>
      <name val="Tahoma"/>
      <family val="2"/>
    </font>
    <font>
      <sz val="12"/>
      <color rgb="FFFF0000"/>
      <name val="Tahoma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8"/>
      <name val="Times New Roman"/>
      <family val="1"/>
    </font>
    <font>
      <sz val="8"/>
      <name val="Tahoma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Tahoma"/>
      <family val="2"/>
    </font>
    <font>
      <sz val="12"/>
      <color rgb="FF00B050"/>
      <name val="Arial"/>
      <family val="2"/>
    </font>
    <font>
      <sz val="11"/>
      <color rgb="FFFFC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1" fillId="3" borderId="0" applyNumberFormat="0" applyBorder="0" applyAlignment="0" applyProtection="0"/>
    <xf numFmtId="41" fontId="26" fillId="0" borderId="0" applyFont="0" applyFill="0" applyBorder="0" applyAlignment="0" applyProtection="0"/>
  </cellStyleXfs>
  <cellXfs count="603">
    <xf numFmtId="0" fontId="0" fillId="0" borderId="0" xfId="0"/>
    <xf numFmtId="0" fontId="7" fillId="0" borderId="0" xfId="0" applyFont="1"/>
    <xf numFmtId="0" fontId="0" fillId="0" borderId="0" xfId="0" applyFont="1"/>
    <xf numFmtId="0" fontId="10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9" fillId="0" borderId="1" xfId="0" applyFont="1" applyBorder="1"/>
    <xf numFmtId="0" fontId="11" fillId="0" borderId="1" xfId="0" applyFont="1" applyBorder="1"/>
    <xf numFmtId="0" fontId="14" fillId="0" borderId="1" xfId="0" applyFont="1" applyBorder="1"/>
    <xf numFmtId="0" fontId="6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7" fillId="2" borderId="1" xfId="0" applyFont="1" applyFill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Font="1" applyBorder="1"/>
    <xf numFmtId="0" fontId="6" fillId="0" borderId="1" xfId="0" applyFont="1" applyBorder="1" applyAlignment="1">
      <alignment horizontal="center"/>
    </xf>
    <xf numFmtId="0" fontId="10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/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6" xfId="0" applyBorder="1"/>
    <xf numFmtId="0" fontId="10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5" fillId="0" borderId="0" xfId="0" applyFont="1" applyBorder="1"/>
    <xf numFmtId="0" fontId="0" fillId="0" borderId="0" xfId="0" applyBorder="1"/>
    <xf numFmtId="0" fontId="7" fillId="2" borderId="6" xfId="0" applyFont="1" applyFill="1" applyBorder="1"/>
    <xf numFmtId="0" fontId="7" fillId="2" borderId="5" xfId="0" applyFont="1" applyFill="1" applyBorder="1"/>
    <xf numFmtId="0" fontId="7" fillId="2" borderId="6" xfId="0" applyFont="1" applyFill="1" applyBorder="1" applyAlignment="1">
      <alignment horizontal="center"/>
    </xf>
    <xf numFmtId="0" fontId="4" fillId="2" borderId="1" xfId="0" applyFont="1" applyFill="1" applyBorder="1"/>
    <xf numFmtId="0" fontId="6" fillId="0" borderId="1" xfId="0" applyFont="1" applyBorder="1" applyAlignment="1">
      <alignment horizontal="center"/>
    </xf>
    <xf numFmtId="0" fontId="0" fillId="2" borderId="0" xfId="0" applyFill="1"/>
    <xf numFmtId="0" fontId="16" fillId="0" borderId="0" xfId="0" applyFont="1"/>
    <xf numFmtId="0" fontId="17" fillId="0" borderId="0" xfId="0" applyFont="1"/>
    <xf numFmtId="0" fontId="7" fillId="0" borderId="1" xfId="0" applyFont="1" applyBorder="1" applyAlignment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0" fillId="2" borderId="0" xfId="0" applyFont="1" applyFill="1"/>
    <xf numFmtId="0" fontId="7" fillId="0" borderId="7" xfId="0" applyFont="1" applyFill="1" applyBorder="1" applyAlignment="1">
      <alignment horizontal="center"/>
    </xf>
    <xf numFmtId="0" fontId="0" fillId="0" borderId="2" xfId="0" applyBorder="1"/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10" fillId="2" borderId="0" xfId="0" applyFont="1" applyFill="1" applyBorder="1"/>
    <xf numFmtId="0" fontId="10" fillId="0" borderId="6" xfId="0" applyFont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6" xfId="0" applyFont="1" applyFill="1" applyBorder="1" applyAlignment="1"/>
    <xf numFmtId="0" fontId="6" fillId="0" borderId="1" xfId="0" applyFont="1" applyBorder="1" applyAlignment="1">
      <alignment horizontal="center"/>
    </xf>
    <xf numFmtId="0" fontId="16" fillId="2" borderId="1" xfId="0" applyFont="1" applyFill="1" applyBorder="1"/>
    <xf numFmtId="0" fontId="16" fillId="2" borderId="6" xfId="0" applyFont="1" applyFill="1" applyBorder="1"/>
    <xf numFmtId="0" fontId="7" fillId="2" borderId="2" xfId="0" applyFont="1" applyFill="1" applyBorder="1"/>
    <xf numFmtId="0" fontId="7" fillId="2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8" fillId="0" borderId="1" xfId="0" applyFont="1" applyBorder="1"/>
    <xf numFmtId="0" fontId="18" fillId="0" borderId="2" xfId="0" applyFont="1" applyBorder="1"/>
    <xf numFmtId="0" fontId="5" fillId="0" borderId="2" xfId="0" applyFont="1" applyBorder="1"/>
    <xf numFmtId="0" fontId="6" fillId="0" borderId="8" xfId="0" applyFont="1" applyBorder="1"/>
    <xf numFmtId="0" fontId="5" fillId="0" borderId="8" xfId="0" applyFont="1" applyBorder="1"/>
    <xf numFmtId="0" fontId="0" fillId="0" borderId="8" xfId="0" applyBorder="1"/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4" fillId="0" borderId="10" xfId="0" applyFont="1" applyBorder="1"/>
    <xf numFmtId="0" fontId="5" fillId="0" borderId="10" xfId="0" applyFont="1" applyBorder="1"/>
    <xf numFmtId="0" fontId="10" fillId="0" borderId="5" xfId="0" applyFont="1" applyBorder="1" applyAlignment="1">
      <alignment horizontal="center"/>
    </xf>
    <xf numFmtId="0" fontId="10" fillId="0" borderId="5" xfId="0" applyFont="1" applyBorder="1"/>
    <xf numFmtId="0" fontId="5" fillId="0" borderId="5" xfId="0" applyFont="1" applyBorder="1"/>
    <xf numFmtId="0" fontId="0" fillId="0" borderId="5" xfId="0" applyBorder="1"/>
    <xf numFmtId="0" fontId="11" fillId="0" borderId="10" xfId="0" applyFont="1" applyBorder="1"/>
    <xf numFmtId="0" fontId="0" fillId="0" borderId="10" xfId="0" applyBorder="1"/>
    <xf numFmtId="0" fontId="0" fillId="0" borderId="11" xfId="0" applyBorder="1"/>
    <xf numFmtId="0" fontId="5" fillId="0" borderId="11" xfId="0" applyFont="1" applyBorder="1"/>
    <xf numFmtId="0" fontId="10" fillId="0" borderId="12" xfId="0" applyFont="1" applyBorder="1" applyAlignment="1">
      <alignment horizontal="center"/>
    </xf>
    <xf numFmtId="0" fontId="10" fillId="0" borderId="12" xfId="0" applyFont="1" applyBorder="1"/>
    <xf numFmtId="0" fontId="5" fillId="0" borderId="12" xfId="0" applyFont="1" applyBorder="1"/>
    <xf numFmtId="0" fontId="0" fillId="0" borderId="12" xfId="0" applyBorder="1"/>
    <xf numFmtId="0" fontId="5" fillId="0" borderId="7" xfId="0" applyFont="1" applyFill="1" applyBorder="1"/>
    <xf numFmtId="0" fontId="4" fillId="0" borderId="5" xfId="0" applyFont="1" applyBorder="1"/>
    <xf numFmtId="0" fontId="10" fillId="0" borderId="8" xfId="0" applyFont="1" applyBorder="1" applyAlignment="1">
      <alignment horizontal="center"/>
    </xf>
    <xf numFmtId="0" fontId="10" fillId="0" borderId="2" xfId="0" applyFont="1" applyBorder="1"/>
    <xf numFmtId="0" fontId="23" fillId="0" borderId="8" xfId="0" applyFont="1" applyBorder="1"/>
    <xf numFmtId="0" fontId="3" fillId="0" borderId="8" xfId="0" applyFont="1" applyBorder="1"/>
    <xf numFmtId="0" fontId="23" fillId="2" borderId="8" xfId="0" applyFont="1" applyFill="1" applyBorder="1"/>
    <xf numFmtId="0" fontId="24" fillId="0" borderId="8" xfId="0" applyFont="1" applyBorder="1"/>
    <xf numFmtId="0" fontId="24" fillId="0" borderId="8" xfId="0" applyFont="1" applyBorder="1" applyAlignment="1">
      <alignment horizontal="center"/>
    </xf>
    <xf numFmtId="0" fontId="24" fillId="2" borderId="8" xfId="0" applyFont="1" applyFill="1" applyBorder="1"/>
    <xf numFmtId="0" fontId="3" fillId="2" borderId="8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3" fillId="0" borderId="8" xfId="0" applyFont="1" applyFill="1" applyBorder="1"/>
    <xf numFmtId="0" fontId="24" fillId="0" borderId="8" xfId="0" applyFont="1" applyFill="1" applyBorder="1"/>
    <xf numFmtId="0" fontId="23" fillId="0" borderId="8" xfId="0" applyFont="1" applyFill="1" applyBorder="1"/>
    <xf numFmtId="0" fontId="24" fillId="0" borderId="8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4" fillId="0" borderId="1" xfId="0" applyFont="1" applyFill="1" applyBorder="1"/>
    <xf numFmtId="0" fontId="9" fillId="0" borderId="1" xfId="0" applyFont="1" applyBorder="1" applyAlignment="1">
      <alignment horizontal="right"/>
    </xf>
    <xf numFmtId="0" fontId="4" fillId="0" borderId="2" xfId="0" applyFont="1" applyBorder="1"/>
    <xf numFmtId="0" fontId="8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41" fontId="9" fillId="0" borderId="1" xfId="2" applyFont="1" applyBorder="1" applyAlignment="1">
      <alignment horizontal="right"/>
    </xf>
    <xf numFmtId="41" fontId="9" fillId="2" borderId="1" xfId="2" applyFont="1" applyFill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1" fontId="13" fillId="0" borderId="1" xfId="2" applyFont="1" applyBorder="1" applyAlignment="1">
      <alignment horizontal="right"/>
    </xf>
    <xf numFmtId="0" fontId="9" fillId="2" borderId="1" xfId="0" applyFont="1" applyFill="1" applyBorder="1" applyAlignment="1">
      <alignment horizontal="left"/>
    </xf>
    <xf numFmtId="0" fontId="10" fillId="2" borderId="15" xfId="0" applyFont="1" applyFill="1" applyBorder="1"/>
    <xf numFmtId="0" fontId="10" fillId="2" borderId="8" xfId="0" applyFont="1" applyFill="1" applyBorder="1"/>
    <xf numFmtId="0" fontId="4" fillId="2" borderId="8" xfId="0" applyFont="1" applyFill="1" applyBorder="1" applyAlignment="1">
      <alignment horizontal="center"/>
    </xf>
    <xf numFmtId="0" fontId="10" fillId="0" borderId="8" xfId="0" applyFont="1" applyBorder="1"/>
    <xf numFmtId="0" fontId="10" fillId="0" borderId="1" xfId="0" applyFont="1" applyFill="1" applyBorder="1"/>
    <xf numFmtId="0" fontId="10" fillId="0" borderId="1" xfId="0" applyFont="1" applyFill="1" applyBorder="1" applyAlignment="1"/>
    <xf numFmtId="0" fontId="9" fillId="0" borderId="1" xfId="0" applyFont="1" applyFill="1" applyBorder="1"/>
    <xf numFmtId="0" fontId="7" fillId="0" borderId="1" xfId="0" applyFont="1" applyFill="1" applyBorder="1"/>
    <xf numFmtId="0" fontId="4" fillId="0" borderId="5" xfId="0" applyFont="1" applyFill="1" applyBorder="1"/>
    <xf numFmtId="0" fontId="4" fillId="0" borderId="5" xfId="0" applyFont="1" applyBorder="1" applyAlignment="1">
      <alignment horizontal="center"/>
    </xf>
    <xf numFmtId="0" fontId="3" fillId="0" borderId="10" xfId="0" applyFont="1" applyBorder="1"/>
    <xf numFmtId="0" fontId="4" fillId="0" borderId="12" xfId="0" applyFont="1" applyBorder="1" applyAlignment="1">
      <alignment horizontal="center"/>
    </xf>
    <xf numFmtId="0" fontId="4" fillId="0" borderId="12" xfId="0" applyFont="1" applyBorder="1"/>
    <xf numFmtId="0" fontId="7" fillId="0" borderId="12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0" fillId="0" borderId="0" xfId="0" applyFill="1" applyBorder="1"/>
    <xf numFmtId="0" fontId="9" fillId="0" borderId="0" xfId="0" applyFont="1" applyFill="1" applyBorder="1"/>
    <xf numFmtId="0" fontId="4" fillId="0" borderId="12" xfId="0" applyFont="1" applyFill="1" applyBorder="1" applyAlignment="1">
      <alignment horizontal="center"/>
    </xf>
    <xf numFmtId="0" fontId="4" fillId="0" borderId="12" xfId="0" applyFont="1" applyFill="1" applyBorder="1"/>
    <xf numFmtId="0" fontId="5" fillId="0" borderId="12" xfId="0" applyFont="1" applyFill="1" applyBorder="1"/>
    <xf numFmtId="0" fontId="0" fillId="0" borderId="12" xfId="0" applyFill="1" applyBorder="1"/>
    <xf numFmtId="0" fontId="6" fillId="0" borderId="0" xfId="0" applyFont="1" applyBorder="1" applyAlignment="1">
      <alignment horizontal="center" wrapText="1"/>
    </xf>
    <xf numFmtId="0" fontId="18" fillId="0" borderId="0" xfId="0" applyFont="1" applyBorder="1"/>
    <xf numFmtId="0" fontId="10" fillId="0" borderId="17" xfId="0" applyFont="1" applyBorder="1" applyAlignment="1">
      <alignment horizontal="center"/>
    </xf>
    <xf numFmtId="0" fontId="5" fillId="0" borderId="17" xfId="0" applyFont="1" applyBorder="1"/>
    <xf numFmtId="0" fontId="4" fillId="0" borderId="11" xfId="0" applyFont="1" applyBorder="1" applyAlignment="1">
      <alignment horizontal="center"/>
    </xf>
    <xf numFmtId="0" fontId="4" fillId="0" borderId="11" xfId="0" applyFont="1" applyBorder="1"/>
    <xf numFmtId="0" fontId="10" fillId="0" borderId="0" xfId="0" applyFont="1" applyBorder="1"/>
    <xf numFmtId="0" fontId="7" fillId="0" borderId="5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1" xfId="0" applyFont="1" applyBorder="1"/>
    <xf numFmtId="0" fontId="10" fillId="0" borderId="5" xfId="0" applyFont="1" applyBorder="1" applyAlignment="1"/>
    <xf numFmtId="0" fontId="10" fillId="0" borderId="12" xfId="0" applyFont="1" applyBorder="1" applyAlignment="1"/>
    <xf numFmtId="0" fontId="14" fillId="0" borderId="10" xfId="0" applyFont="1" applyBorder="1"/>
    <xf numFmtId="0" fontId="5" fillId="0" borderId="13" xfId="0" applyFont="1" applyBorder="1"/>
    <xf numFmtId="0" fontId="4" fillId="0" borderId="17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0" fillId="2" borderId="5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7" fillId="0" borderId="5" xfId="0" applyFont="1" applyBorder="1" applyAlignment="1"/>
    <xf numFmtId="0" fontId="7" fillId="0" borderId="12" xfId="0" applyFont="1" applyBorder="1" applyAlignment="1"/>
    <xf numFmtId="0" fontId="17" fillId="0" borderId="12" xfId="0" applyFont="1" applyBorder="1"/>
    <xf numFmtId="0" fontId="0" fillId="0" borderId="10" xfId="0" applyFont="1" applyBorder="1"/>
    <xf numFmtId="0" fontId="1" fillId="0" borderId="11" xfId="0" applyFont="1" applyBorder="1"/>
    <xf numFmtId="0" fontId="13" fillId="0" borderId="5" xfId="0" applyFont="1" applyBorder="1"/>
    <xf numFmtId="0" fontId="13" fillId="0" borderId="10" xfId="0" applyFont="1" applyBorder="1"/>
    <xf numFmtId="0" fontId="13" fillId="0" borderId="0" xfId="0" applyFont="1" applyBorder="1"/>
    <xf numFmtId="0" fontId="13" fillId="0" borderId="11" xfId="0" applyFont="1" applyBorder="1"/>
    <xf numFmtId="0" fontId="13" fillId="0" borderId="12" xfId="0" applyFont="1" applyBorder="1"/>
    <xf numFmtId="0" fontId="11" fillId="0" borderId="0" xfId="0" applyFont="1" applyBorder="1"/>
    <xf numFmtId="0" fontId="5" fillId="0" borderId="9" xfId="0" applyFont="1" applyBorder="1"/>
    <xf numFmtId="0" fontId="0" fillId="0" borderId="20" xfId="0" applyBorder="1"/>
    <xf numFmtId="0" fontId="0" fillId="0" borderId="21" xfId="0" applyBorder="1"/>
    <xf numFmtId="0" fontId="0" fillId="0" borderId="13" xfId="0" applyBorder="1"/>
    <xf numFmtId="0" fontId="15" fillId="2" borderId="11" xfId="0" applyFont="1" applyFill="1" applyBorder="1" applyAlignment="1">
      <alignment horizontal="center"/>
    </xf>
    <xf numFmtId="0" fontId="4" fillId="2" borderId="11" xfId="0" applyFont="1" applyFill="1" applyBorder="1"/>
    <xf numFmtId="0" fontId="4" fillId="2" borderId="11" xfId="0" applyFont="1" applyFill="1" applyBorder="1" applyAlignment="1">
      <alignment horizontal="center"/>
    </xf>
    <xf numFmtId="0" fontId="7" fillId="2" borderId="12" xfId="0" applyFont="1" applyFill="1" applyBorder="1"/>
    <xf numFmtId="0" fontId="10" fillId="0" borderId="12" xfId="0" applyFont="1" applyFill="1" applyBorder="1"/>
    <xf numFmtId="0" fontId="10" fillId="0" borderId="0" xfId="0" applyFont="1" applyFill="1" applyBorder="1"/>
    <xf numFmtId="0" fontId="10" fillId="0" borderId="11" xfId="0" applyFont="1" applyFill="1" applyBorder="1"/>
    <xf numFmtId="0" fontId="21" fillId="0" borderId="0" xfId="1" applyFill="1"/>
    <xf numFmtId="0" fontId="13" fillId="0" borderId="5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13" fillId="0" borderId="12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10" fillId="2" borderId="5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0" fillId="0" borderId="22" xfId="0" applyBorder="1"/>
    <xf numFmtId="0" fontId="10" fillId="2" borderId="5" xfId="0" applyFont="1" applyFill="1" applyBorder="1" applyAlignment="1"/>
    <xf numFmtId="0" fontId="10" fillId="2" borderId="23" xfId="0" applyFont="1" applyFill="1" applyBorder="1"/>
    <xf numFmtId="0" fontId="10" fillId="2" borderId="24" xfId="0" applyFont="1" applyFill="1" applyBorder="1"/>
    <xf numFmtId="0" fontId="13" fillId="0" borderId="5" xfId="0" applyFont="1" applyBorder="1" applyAlignment="1">
      <alignment horizontal="left"/>
    </xf>
    <xf numFmtId="41" fontId="13" fillId="0" borderId="5" xfId="2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22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22" fillId="0" borderId="1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0" fillId="0" borderId="4" xfId="0" applyFont="1" applyBorder="1"/>
    <xf numFmtId="0" fontId="6" fillId="0" borderId="21" xfId="0" applyFont="1" applyBorder="1"/>
    <xf numFmtId="0" fontId="10" fillId="0" borderId="18" xfId="0" applyFont="1" applyBorder="1"/>
    <xf numFmtId="0" fontId="9" fillId="0" borderId="8" xfId="0" applyFont="1" applyBorder="1" applyAlignment="1">
      <alignment horizontal="right"/>
    </xf>
    <xf numFmtId="0" fontId="11" fillId="0" borderId="8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5" xfId="0" applyBorder="1" applyAlignment="1">
      <alignment horizontal="right"/>
    </xf>
    <xf numFmtId="0" fontId="8" fillId="0" borderId="5" xfId="0" applyFont="1" applyBorder="1"/>
    <xf numFmtId="0" fontId="8" fillId="0" borderId="0" xfId="0" applyFont="1" applyBorder="1"/>
    <xf numFmtId="0" fontId="4" fillId="0" borderId="21" xfId="0" applyFont="1" applyBorder="1"/>
    <xf numFmtId="0" fontId="5" fillId="0" borderId="21" xfId="0" applyFont="1" applyBorder="1"/>
    <xf numFmtId="0" fontId="22" fillId="0" borderId="11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0" fillId="0" borderId="4" xfId="0" applyBorder="1" applyAlignment="1">
      <alignment wrapText="1"/>
    </xf>
    <xf numFmtId="0" fontId="6" fillId="0" borderId="4" xfId="0" applyFont="1" applyBorder="1" applyAlignment="1">
      <alignment wrapText="1"/>
    </xf>
    <xf numFmtId="0" fontId="18" fillId="0" borderId="4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10" fillId="0" borderId="10" xfId="0" applyFont="1" applyBorder="1" applyAlignment="1">
      <alignment horizontal="right"/>
    </xf>
    <xf numFmtId="0" fontId="4" fillId="0" borderId="20" xfId="0" applyFont="1" applyBorder="1"/>
    <xf numFmtId="0" fontId="6" fillId="0" borderId="8" xfId="0" applyFont="1" applyBorder="1" applyAlignment="1">
      <alignment horizontal="center" wrapText="1"/>
    </xf>
    <xf numFmtId="0" fontId="6" fillId="0" borderId="8" xfId="0" applyFont="1" applyBorder="1" applyAlignment="1">
      <alignment wrapText="1"/>
    </xf>
    <xf numFmtId="0" fontId="18" fillId="0" borderId="8" xfId="0" applyFont="1" applyBorder="1"/>
    <xf numFmtId="41" fontId="9" fillId="0" borderId="1" xfId="0" applyNumberFormat="1" applyFont="1" applyBorder="1" applyAlignment="1">
      <alignment horizontal="right"/>
    </xf>
    <xf numFmtId="41" fontId="9" fillId="0" borderId="2" xfId="0" applyNumberFormat="1" applyFont="1" applyBorder="1" applyAlignment="1">
      <alignment horizontal="right"/>
    </xf>
    <xf numFmtId="0" fontId="5" fillId="0" borderId="25" xfId="0" applyFont="1" applyBorder="1"/>
    <xf numFmtId="0" fontId="14" fillId="0" borderId="1" xfId="0" applyFont="1" applyBorder="1" applyAlignment="1"/>
    <xf numFmtId="0" fontId="6" fillId="0" borderId="1" xfId="0" applyFont="1" applyBorder="1" applyAlignment="1"/>
    <xf numFmtId="0" fontId="4" fillId="0" borderId="1" xfId="0" applyFont="1" applyBorder="1" applyAlignment="1"/>
    <xf numFmtId="0" fontId="0" fillId="0" borderId="1" xfId="0" applyBorder="1" applyAlignment="1"/>
    <xf numFmtId="0" fontId="0" fillId="0" borderId="12" xfId="0" applyBorder="1" applyAlignment="1"/>
    <xf numFmtId="0" fontId="0" fillId="0" borderId="0" xfId="0" applyBorder="1" applyAlignment="1"/>
    <xf numFmtId="0" fontId="0" fillId="0" borderId="11" xfId="0" applyBorder="1" applyAlignment="1"/>
    <xf numFmtId="0" fontId="14" fillId="0" borderId="10" xfId="0" applyFont="1" applyBorder="1" applyAlignment="1"/>
    <xf numFmtId="0" fontId="4" fillId="2" borderId="1" xfId="0" applyFont="1" applyFill="1" applyBorder="1" applyAlignment="1"/>
    <xf numFmtId="0" fontId="8" fillId="0" borderId="1" xfId="0" applyFont="1" applyBorder="1" applyAlignment="1"/>
    <xf numFmtId="0" fontId="4" fillId="0" borderId="0" xfId="0" applyFont="1" applyBorder="1" applyAlignment="1"/>
    <xf numFmtId="0" fontId="8" fillId="0" borderId="5" xfId="0" applyFont="1" applyBorder="1" applyAlignment="1"/>
    <xf numFmtId="0" fontId="4" fillId="0" borderId="12" xfId="0" applyFont="1" applyBorder="1" applyAlignment="1"/>
    <xf numFmtId="0" fontId="1" fillId="0" borderId="11" xfId="0" applyFont="1" applyBorder="1" applyAlignment="1"/>
    <xf numFmtId="0" fontId="4" fillId="0" borderId="11" xfId="0" applyFont="1" applyBorder="1" applyAlignment="1"/>
    <xf numFmtId="0" fontId="4" fillId="0" borderId="5" xfId="0" applyFont="1" applyBorder="1" applyAlignment="1"/>
    <xf numFmtId="0" fontId="7" fillId="0" borderId="0" xfId="0" applyFont="1" applyBorder="1" applyAlignment="1"/>
    <xf numFmtId="0" fontId="10" fillId="0" borderId="11" xfId="0" applyFont="1" applyBorder="1" applyAlignment="1"/>
    <xf numFmtId="0" fontId="4" fillId="0" borderId="10" xfId="0" applyFont="1" applyBorder="1" applyAlignment="1"/>
    <xf numFmtId="0" fontId="5" fillId="0" borderId="10" xfId="0" applyFont="1" applyBorder="1" applyAlignment="1"/>
    <xf numFmtId="0" fontId="8" fillId="0" borderId="19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0" fillId="0" borderId="0" xfId="0" applyAlignment="1"/>
    <xf numFmtId="0" fontId="13" fillId="0" borderId="1" xfId="0" applyFont="1" applyBorder="1" applyAlignment="1"/>
    <xf numFmtId="0" fontId="9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4" fillId="2" borderId="5" xfId="0" applyFont="1" applyFill="1" applyBorder="1"/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8" fillId="0" borderId="5" xfId="0" applyFont="1" applyBorder="1"/>
    <xf numFmtId="0" fontId="10" fillId="0" borderId="8" xfId="0" applyFont="1" applyFill="1" applyBorder="1" applyAlignment="1">
      <alignment horizontal="center"/>
    </xf>
    <xf numFmtId="0" fontId="10" fillId="0" borderId="8" xfId="0" applyFont="1" applyFill="1" applyBorder="1"/>
    <xf numFmtId="0" fontId="5" fillId="0" borderId="8" xfId="0" applyFont="1" applyFill="1" applyBorder="1"/>
    <xf numFmtId="0" fontId="4" fillId="0" borderId="8" xfId="0" applyFont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9" fillId="0" borderId="8" xfId="0" applyFont="1" applyFill="1" applyBorder="1"/>
    <xf numFmtId="0" fontId="4" fillId="0" borderId="8" xfId="0" applyFont="1" applyFill="1" applyBorder="1"/>
    <xf numFmtId="0" fontId="7" fillId="0" borderId="8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5" fillId="0" borderId="11" xfId="0" applyFont="1" applyFill="1" applyBorder="1"/>
    <xf numFmtId="0" fontId="0" fillId="0" borderId="11" xfId="0" applyFill="1" applyBorder="1"/>
    <xf numFmtId="0" fontId="5" fillId="0" borderId="1" xfId="0" applyFont="1" applyFill="1" applyBorder="1"/>
    <xf numFmtId="0" fontId="10" fillId="0" borderId="5" xfId="0" applyFont="1" applyFill="1" applyBorder="1"/>
    <xf numFmtId="0" fontId="10" fillId="0" borderId="5" xfId="0" applyFont="1" applyFill="1" applyBorder="1" applyAlignment="1">
      <alignment horizontal="center"/>
    </xf>
    <xf numFmtId="0" fontId="5" fillId="0" borderId="5" xfId="0" applyFont="1" applyFill="1" applyBorder="1"/>
    <xf numFmtId="0" fontId="7" fillId="0" borderId="12" xfId="0" applyFont="1" applyFill="1" applyBorder="1"/>
    <xf numFmtId="0" fontId="7" fillId="0" borderId="0" xfId="0" applyFont="1" applyFill="1" applyBorder="1"/>
    <xf numFmtId="0" fontId="7" fillId="0" borderId="5" xfId="0" applyFont="1" applyFill="1" applyBorder="1"/>
    <xf numFmtId="0" fontId="10" fillId="0" borderId="13" xfId="0" applyFont="1" applyFill="1" applyBorder="1"/>
    <xf numFmtId="0" fontId="7" fillId="0" borderId="8" xfId="0" applyFont="1" applyFill="1" applyBorder="1"/>
    <xf numFmtId="0" fontId="28" fillId="0" borderId="12" xfId="0" applyFont="1" applyFill="1" applyBorder="1"/>
    <xf numFmtId="0" fontId="28" fillId="0" borderId="0" xfId="0" applyFont="1" applyFill="1" applyBorder="1"/>
    <xf numFmtId="0" fontId="4" fillId="0" borderId="1" xfId="0" applyFont="1" applyFill="1" applyBorder="1" applyAlignment="1">
      <alignment horizontal="center"/>
    </xf>
    <xf numFmtId="0" fontId="30" fillId="0" borderId="1" xfId="0" applyFont="1" applyFill="1" applyBorder="1" applyAlignment="1">
      <alignment wrapText="1"/>
    </xf>
    <xf numFmtId="0" fontId="0" fillId="0" borderId="0" xfId="0" applyFill="1"/>
    <xf numFmtId="0" fontId="6" fillId="0" borderId="1" xfId="0" applyFont="1" applyFill="1" applyBorder="1"/>
    <xf numFmtId="0" fontId="28" fillId="0" borderId="1" xfId="0" applyFont="1" applyFill="1" applyBorder="1"/>
    <xf numFmtId="0" fontId="10" fillId="0" borderId="1" xfId="0" applyFont="1" applyFill="1" applyBorder="1" applyAlignment="1">
      <alignment horizontal="left"/>
    </xf>
    <xf numFmtId="0" fontId="9" fillId="0" borderId="10" xfId="0" applyFont="1" applyFill="1" applyBorder="1"/>
    <xf numFmtId="0" fontId="8" fillId="0" borderId="1" xfId="0" applyFont="1" applyFill="1" applyBorder="1"/>
    <xf numFmtId="0" fontId="4" fillId="0" borderId="0" xfId="0" applyFont="1" applyFill="1" applyBorder="1"/>
    <xf numFmtId="0" fontId="8" fillId="0" borderId="5" xfId="0" applyFont="1" applyFill="1" applyBorder="1"/>
    <xf numFmtId="0" fontId="1" fillId="0" borderId="11" xfId="0" applyFont="1" applyFill="1" applyBorder="1"/>
    <xf numFmtId="0" fontId="4" fillId="0" borderId="11" xfId="0" applyFont="1" applyFill="1" applyBorder="1"/>
    <xf numFmtId="0" fontId="7" fillId="0" borderId="1" xfId="0" applyFont="1" applyFill="1" applyBorder="1" applyAlignment="1">
      <alignment horizontal="left"/>
    </xf>
    <xf numFmtId="0" fontId="10" fillId="0" borderId="11" xfId="0" applyFont="1" applyFill="1" applyBorder="1" applyAlignment="1">
      <alignment horizontal="left"/>
    </xf>
    <xf numFmtId="0" fontId="10" fillId="0" borderId="12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25" fillId="0" borderId="1" xfId="0" applyFont="1" applyFill="1" applyBorder="1"/>
    <xf numFmtId="0" fontId="4" fillId="0" borderId="10" xfId="0" applyFont="1" applyFill="1" applyBorder="1"/>
    <xf numFmtId="0" fontId="13" fillId="0" borderId="1" xfId="0" applyFont="1" applyFill="1" applyBorder="1"/>
    <xf numFmtId="0" fontId="9" fillId="0" borderId="12" xfId="0" applyFont="1" applyFill="1" applyBorder="1"/>
    <xf numFmtId="0" fontId="13" fillId="0" borderId="5" xfId="0" applyFont="1" applyFill="1" applyBorder="1"/>
    <xf numFmtId="0" fontId="8" fillId="0" borderId="19" xfId="0" applyFont="1" applyFill="1" applyBorder="1"/>
    <xf numFmtId="0" fontId="6" fillId="0" borderId="0" xfId="0" applyFont="1" applyFill="1" applyBorder="1"/>
    <xf numFmtId="0" fontId="10" fillId="0" borderId="1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16" fillId="0" borderId="1" xfId="0" applyFont="1" applyFill="1" applyBorder="1"/>
    <xf numFmtId="0" fontId="6" fillId="0" borderId="5" xfId="0" applyFont="1" applyFill="1" applyBorder="1"/>
    <xf numFmtId="0" fontId="6" fillId="0" borderId="5" xfId="0" applyFont="1" applyBorder="1" applyAlignment="1"/>
    <xf numFmtId="0" fontId="10" fillId="0" borderId="8" xfId="0" applyFont="1" applyBorder="1" applyAlignment="1"/>
    <xf numFmtId="0" fontId="6" fillId="0" borderId="10" xfId="0" applyFont="1" applyBorder="1" applyAlignment="1">
      <alignment horizontal="center"/>
    </xf>
    <xf numFmtId="0" fontId="6" fillId="0" borderId="10" xfId="0" applyFont="1" applyFill="1" applyBorder="1"/>
    <xf numFmtId="0" fontId="6" fillId="0" borderId="10" xfId="0" applyFont="1" applyBorder="1" applyAlignment="1"/>
    <xf numFmtId="0" fontId="6" fillId="0" borderId="10" xfId="0" applyFont="1" applyBorder="1" applyAlignment="1">
      <alignment horizontal="center" wrapText="1"/>
    </xf>
    <xf numFmtId="0" fontId="18" fillId="0" borderId="10" xfId="0" applyFont="1" applyBorder="1"/>
    <xf numFmtId="0" fontId="6" fillId="0" borderId="10" xfId="0" applyFont="1" applyBorder="1"/>
    <xf numFmtId="0" fontId="11" fillId="0" borderId="8" xfId="0" applyFont="1" applyBorder="1"/>
    <xf numFmtId="0" fontId="14" fillId="0" borderId="8" xfId="0" applyFont="1" applyBorder="1" applyAlignment="1"/>
    <xf numFmtId="0" fontId="14" fillId="0" borderId="8" xfId="0" applyFont="1" applyBorder="1"/>
    <xf numFmtId="0" fontId="0" fillId="0" borderId="8" xfId="0" applyFont="1" applyBorder="1"/>
    <xf numFmtId="0" fontId="7" fillId="0" borderId="8" xfId="0" applyFont="1" applyBorder="1" applyAlignment="1"/>
    <xf numFmtId="0" fontId="10" fillId="0" borderId="30" xfId="0" applyFont="1" applyFill="1" applyBorder="1"/>
    <xf numFmtId="0" fontId="7" fillId="0" borderId="30" xfId="0" applyFont="1" applyBorder="1" applyAlignment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/>
    <xf numFmtId="0" fontId="10" fillId="0" borderId="17" xfId="0" applyFont="1" applyFill="1" applyBorder="1"/>
    <xf numFmtId="0" fontId="10" fillId="0" borderId="17" xfId="0" applyFont="1" applyBorder="1" applyAlignment="1"/>
    <xf numFmtId="0" fontId="13" fillId="0" borderId="0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33" xfId="0" applyFont="1" applyBorder="1" applyAlignment="1">
      <alignment horizontal="right"/>
    </xf>
    <xf numFmtId="0" fontId="4" fillId="0" borderId="34" xfId="0" applyFont="1" applyBorder="1"/>
    <xf numFmtId="0" fontId="13" fillId="0" borderId="34" xfId="0" applyFont="1" applyBorder="1" applyAlignment="1">
      <alignment horizontal="right"/>
    </xf>
    <xf numFmtId="0" fontId="4" fillId="0" borderId="34" xfId="0" applyFont="1" applyBorder="1" applyAlignment="1">
      <alignment horizontal="right"/>
    </xf>
    <xf numFmtId="0" fontId="4" fillId="0" borderId="35" xfId="0" applyFont="1" applyBorder="1" applyAlignment="1">
      <alignment horizontal="right"/>
    </xf>
    <xf numFmtId="0" fontId="9" fillId="0" borderId="5" xfId="0" applyFont="1" applyBorder="1"/>
    <xf numFmtId="0" fontId="9" fillId="0" borderId="8" xfId="0" applyFont="1" applyBorder="1"/>
    <xf numFmtId="0" fontId="7" fillId="0" borderId="13" xfId="0" applyFont="1" applyFill="1" applyBorder="1"/>
    <xf numFmtId="0" fontId="4" fillId="0" borderId="36" xfId="0" applyFont="1" applyBorder="1" applyAlignment="1">
      <alignment horizontal="right"/>
    </xf>
    <xf numFmtId="0" fontId="0" fillId="0" borderId="1" xfId="0" applyFill="1" applyBorder="1"/>
    <xf numFmtId="0" fontId="0" fillId="0" borderId="5" xfId="0" applyFill="1" applyBorder="1"/>
    <xf numFmtId="0" fontId="3" fillId="0" borderId="1" xfId="0" applyFont="1" applyFill="1" applyBorder="1"/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/>
    </xf>
    <xf numFmtId="0" fontId="18" fillId="0" borderId="1" xfId="0" applyFont="1" applyFill="1" applyBorder="1"/>
    <xf numFmtId="0" fontId="29" fillId="0" borderId="1" xfId="0" applyFont="1" applyFill="1" applyBorder="1"/>
    <xf numFmtId="0" fontId="0" fillId="0" borderId="14" xfId="0" applyFill="1" applyBorder="1"/>
    <xf numFmtId="0" fontId="7" fillId="0" borderId="0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3" fillId="0" borderId="10" xfId="0" applyFont="1" applyFill="1" applyBorder="1"/>
    <xf numFmtId="0" fontId="5" fillId="0" borderId="10" xfId="0" applyFont="1" applyFill="1" applyBorder="1"/>
    <xf numFmtId="0" fontId="7" fillId="0" borderId="5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6" fillId="0" borderId="0" xfId="0" applyFont="1" applyFill="1"/>
    <xf numFmtId="0" fontId="5" fillId="0" borderId="0" xfId="0" applyFont="1" applyFill="1"/>
    <xf numFmtId="0" fontId="10" fillId="0" borderId="7" xfId="0" applyFont="1" applyFill="1" applyBorder="1"/>
    <xf numFmtId="0" fontId="27" fillId="0" borderId="5" xfId="0" applyFont="1" applyFill="1" applyBorder="1"/>
    <xf numFmtId="0" fontId="27" fillId="0" borderId="5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11" fillId="0" borderId="10" xfId="0" applyFont="1" applyFill="1" applyBorder="1"/>
    <xf numFmtId="0" fontId="10" fillId="0" borderId="12" xfId="0" applyFont="1" applyFill="1" applyBorder="1" applyAlignment="1">
      <alignment horizontal="center"/>
    </xf>
    <xf numFmtId="0" fontId="14" fillId="0" borderId="10" xfId="0" applyFont="1" applyFill="1" applyBorder="1"/>
    <xf numFmtId="0" fontId="0" fillId="0" borderId="0" xfId="0" applyFont="1" applyFill="1"/>
    <xf numFmtId="0" fontId="10" fillId="0" borderId="2" xfId="0" applyFont="1" applyFill="1" applyBorder="1" applyAlignment="1">
      <alignment horizontal="center"/>
    </xf>
    <xf numFmtId="0" fontId="0" fillId="0" borderId="8" xfId="0" applyFill="1" applyBorder="1"/>
    <xf numFmtId="0" fontId="10" fillId="0" borderId="9" xfId="0" applyFont="1" applyFill="1" applyBorder="1" applyAlignment="1">
      <alignment horizontal="center"/>
    </xf>
    <xf numFmtId="0" fontId="5" fillId="0" borderId="13" xfId="0" applyFont="1" applyFill="1" applyBorder="1"/>
    <xf numFmtId="0" fontId="4" fillId="0" borderId="0" xfId="0" applyFont="1" applyFill="1"/>
    <xf numFmtId="0" fontId="6" fillId="0" borderId="5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 wrapText="1"/>
    </xf>
    <xf numFmtId="0" fontId="6" fillId="0" borderId="18" xfId="0" applyFont="1" applyFill="1" applyBorder="1" applyAlignment="1">
      <alignment horizontal="center"/>
    </xf>
    <xf numFmtId="0" fontId="18" fillId="0" borderId="5" xfId="0" applyFont="1" applyFill="1" applyBorder="1"/>
    <xf numFmtId="0" fontId="4" fillId="0" borderId="17" xfId="0" applyFont="1" applyFill="1" applyBorder="1" applyAlignment="1">
      <alignment horizontal="center"/>
    </xf>
    <xf numFmtId="0" fontId="4" fillId="0" borderId="17" xfId="0" applyFont="1" applyFill="1" applyBorder="1"/>
    <xf numFmtId="0" fontId="5" fillId="0" borderId="17" xfId="0" applyFont="1" applyFill="1" applyBorder="1"/>
    <xf numFmtId="0" fontId="3" fillId="0" borderId="5" xfId="0" applyFont="1" applyFill="1" applyBorder="1"/>
    <xf numFmtId="0" fontId="9" fillId="0" borderId="5" xfId="0" applyFont="1" applyFill="1" applyBorder="1"/>
    <xf numFmtId="0" fontId="7" fillId="0" borderId="11" xfId="0" applyFont="1" applyFill="1" applyBorder="1"/>
    <xf numFmtId="0" fontId="6" fillId="0" borderId="18" xfId="0" applyFont="1" applyFill="1" applyBorder="1" applyAlignment="1">
      <alignment horizontal="center" wrapText="1"/>
    </xf>
    <xf numFmtId="0" fontId="27" fillId="0" borderId="1" xfId="0" applyFont="1" applyFill="1" applyBorder="1" applyAlignment="1">
      <alignment horizontal="center"/>
    </xf>
    <xf numFmtId="0" fontId="1" fillId="0" borderId="0" xfId="0" applyFont="1" applyFill="1"/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9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/>
    <xf numFmtId="0" fontId="7" fillId="0" borderId="13" xfId="0" applyFont="1" applyBorder="1" applyAlignment="1"/>
    <xf numFmtId="0" fontId="5" fillId="0" borderId="37" xfId="0" applyFont="1" applyBorder="1"/>
    <xf numFmtId="0" fontId="10" fillId="0" borderId="13" xfId="0" applyFont="1" applyFill="1" applyBorder="1" applyAlignment="1">
      <alignment horizontal="center"/>
    </xf>
    <xf numFmtId="0" fontId="4" fillId="0" borderId="8" xfId="0" applyFont="1" applyBorder="1" applyAlignment="1"/>
    <xf numFmtId="0" fontId="4" fillId="0" borderId="13" xfId="0" applyFont="1" applyFill="1" applyBorder="1"/>
    <xf numFmtId="0" fontId="4" fillId="0" borderId="13" xfId="0" applyFont="1" applyBorder="1" applyAlignment="1"/>
    <xf numFmtId="0" fontId="13" fillId="0" borderId="5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0" fontId="10" fillId="0" borderId="0" xfId="0" applyFont="1" applyFill="1" applyBorder="1" applyAlignment="1"/>
    <xf numFmtId="0" fontId="4" fillId="0" borderId="1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0" fontId="0" fillId="0" borderId="28" xfId="0" applyFill="1" applyBorder="1"/>
    <xf numFmtId="0" fontId="5" fillId="0" borderId="28" xfId="0" applyFont="1" applyFill="1" applyBorder="1"/>
    <xf numFmtId="0" fontId="0" fillId="0" borderId="10" xfId="0" applyFill="1" applyBorder="1"/>
    <xf numFmtId="0" fontId="10" fillId="0" borderId="17" xfId="0" applyFont="1" applyFill="1" applyBorder="1" applyAlignment="1">
      <alignment horizontal="center"/>
    </xf>
    <xf numFmtId="0" fontId="0" fillId="0" borderId="17" xfId="0" applyFill="1" applyBorder="1"/>
    <xf numFmtId="0" fontId="7" fillId="0" borderId="1" xfId="0" applyFont="1" applyFill="1" applyBorder="1" applyAlignment="1"/>
    <xf numFmtId="0" fontId="0" fillId="0" borderId="13" xfId="0" applyFill="1" applyBorder="1"/>
    <xf numFmtId="0" fontId="4" fillId="0" borderId="12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19" fillId="0" borderId="1" xfId="0" applyFont="1" applyFill="1" applyBorder="1"/>
    <xf numFmtId="0" fontId="19" fillId="0" borderId="5" xfId="0" applyFont="1" applyFill="1" applyBorder="1"/>
    <xf numFmtId="0" fontId="25" fillId="0" borderId="12" xfId="0" applyFont="1" applyFill="1" applyBorder="1"/>
    <xf numFmtId="0" fontId="25" fillId="0" borderId="0" xfId="0" applyFont="1" applyFill="1" applyBorder="1"/>
    <xf numFmtId="0" fontId="8" fillId="0" borderId="1" xfId="0" applyFont="1" applyFill="1" applyBorder="1" applyAlignment="1">
      <alignment horizontal="center"/>
    </xf>
    <xf numFmtId="0" fontId="0" fillId="0" borderId="26" xfId="0" applyFill="1" applyBorder="1"/>
    <xf numFmtId="0" fontId="16" fillId="0" borderId="17" xfId="0" applyFont="1" applyFill="1" applyBorder="1"/>
    <xf numFmtId="0" fontId="16" fillId="0" borderId="0" xfId="0" applyFont="1" applyFill="1" applyBorder="1"/>
    <xf numFmtId="0" fontId="19" fillId="0" borderId="8" xfId="0" applyFont="1" applyFill="1" applyBorder="1"/>
    <xf numFmtId="0" fontId="20" fillId="0" borderId="8" xfId="0" applyFont="1" applyFill="1" applyBorder="1"/>
    <xf numFmtId="0" fontId="20" fillId="0" borderId="5" xfId="0" applyFont="1" applyFill="1" applyBorder="1"/>
    <xf numFmtId="0" fontId="4" fillId="0" borderId="2" xfId="0" applyFont="1" applyFill="1" applyBorder="1" applyAlignment="1">
      <alignment horizontal="center"/>
    </xf>
    <xf numFmtId="0" fontId="22" fillId="0" borderId="8" xfId="0" applyFont="1" applyFill="1" applyBorder="1"/>
    <xf numFmtId="0" fontId="4" fillId="0" borderId="30" xfId="0" applyFont="1" applyFill="1" applyBorder="1"/>
    <xf numFmtId="0" fontId="4" fillId="0" borderId="30" xfId="0" applyFont="1" applyBorder="1" applyAlignment="1"/>
    <xf numFmtId="0" fontId="13" fillId="0" borderId="8" xfId="0" applyFont="1" applyBorder="1" applyAlignment="1"/>
    <xf numFmtId="0" fontId="13" fillId="0" borderId="8" xfId="0" applyFont="1" applyBorder="1"/>
    <xf numFmtId="0" fontId="9" fillId="0" borderId="8" xfId="0" applyFont="1" applyBorder="1" applyAlignment="1">
      <alignment horizontal="center"/>
    </xf>
    <xf numFmtId="0" fontId="31" fillId="0" borderId="1" xfId="0" applyFont="1" applyBorder="1"/>
    <xf numFmtId="0" fontId="27" fillId="0" borderId="8" xfId="0" applyFont="1" applyFill="1" applyBorder="1"/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4" xfId="0" applyFont="1" applyBorder="1" applyAlignment="1"/>
    <xf numFmtId="0" fontId="4" fillId="0" borderId="8" xfId="0" applyFont="1" applyBorder="1"/>
    <xf numFmtId="0" fontId="10" fillId="0" borderId="21" xfId="0" applyFont="1" applyFill="1" applyBorder="1"/>
    <xf numFmtId="0" fontId="7" fillId="0" borderId="21" xfId="0" applyFont="1" applyBorder="1" applyAlignment="1"/>
    <xf numFmtId="0" fontId="5" fillId="0" borderId="39" xfId="0" applyFont="1" applyBorder="1"/>
    <xf numFmtId="0" fontId="28" fillId="0" borderId="1" xfId="0" applyFont="1" applyBorder="1"/>
    <xf numFmtId="0" fontId="0" fillId="0" borderId="29" xfId="0" applyBorder="1"/>
    <xf numFmtId="0" fontId="6" fillId="0" borderId="18" xfId="0" applyFont="1" applyBorder="1"/>
    <xf numFmtId="0" fontId="0" fillId="0" borderId="40" xfId="0" applyBorder="1"/>
    <xf numFmtId="0" fontId="5" fillId="0" borderId="41" xfId="0" applyFont="1" applyBorder="1"/>
    <xf numFmtId="0" fontId="0" fillId="0" borderId="8" xfId="0" applyBorder="1" applyAlignment="1"/>
    <xf numFmtId="0" fontId="25" fillId="2" borderId="1" xfId="0" applyFont="1" applyFill="1" applyBorder="1"/>
    <xf numFmtId="0" fontId="9" fillId="0" borderId="5" xfId="0" applyFont="1" applyBorder="1" applyAlignment="1">
      <alignment horizontal="left"/>
    </xf>
    <xf numFmtId="0" fontId="10" fillId="2" borderId="4" xfId="0" applyFont="1" applyFill="1" applyBorder="1"/>
    <xf numFmtId="0" fontId="4" fillId="0" borderId="6" xfId="0" applyFont="1" applyBorder="1" applyAlignment="1">
      <alignment horizontal="left"/>
    </xf>
    <xf numFmtId="0" fontId="13" fillId="2" borderId="18" xfId="0" applyFont="1" applyFill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3" fillId="2" borderId="5" xfId="0" applyFont="1" applyFill="1" applyBorder="1" applyAlignment="1">
      <alignment horizontal="right"/>
    </xf>
    <xf numFmtId="41" fontId="9" fillId="0" borderId="5" xfId="2" applyFont="1" applyBorder="1" applyAlignment="1">
      <alignment horizontal="right"/>
    </xf>
    <xf numFmtId="41" fontId="13" fillId="2" borderId="5" xfId="2" applyFont="1" applyFill="1" applyBorder="1" applyAlignment="1">
      <alignment horizontal="right"/>
    </xf>
    <xf numFmtId="0" fontId="11" fillId="0" borderId="12" xfId="0" applyFont="1" applyBorder="1" applyAlignment="1">
      <alignment horizontal="right"/>
    </xf>
    <xf numFmtId="0" fontId="9" fillId="0" borderId="12" xfId="0" applyFont="1" applyBorder="1" applyAlignment="1">
      <alignment horizontal="right"/>
    </xf>
    <xf numFmtId="0" fontId="9" fillId="0" borderId="1" xfId="0" quotePrefix="1" applyFont="1" applyBorder="1"/>
    <xf numFmtId="0" fontId="4" fillId="0" borderId="21" xfId="0" applyFont="1" applyFill="1" applyBorder="1" applyAlignment="1">
      <alignment horizontal="center"/>
    </xf>
    <xf numFmtId="0" fontId="4" fillId="0" borderId="21" xfId="0" applyFont="1" applyFill="1" applyBorder="1"/>
    <xf numFmtId="0" fontId="5" fillId="0" borderId="21" xfId="0" applyFont="1" applyFill="1" applyBorder="1"/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9" fillId="0" borderId="2" xfId="0" applyFont="1" applyBorder="1" applyAlignment="1">
      <alignment horizontal="right"/>
    </xf>
    <xf numFmtId="0" fontId="0" fillId="2" borderId="8" xfId="0" applyFill="1" applyBorder="1"/>
    <xf numFmtId="0" fontId="6" fillId="0" borderId="8" xfId="0" applyFont="1" applyBorder="1" applyAlignment="1">
      <alignment horizontal="center"/>
    </xf>
    <xf numFmtId="0" fontId="6" fillId="0" borderId="8" xfId="0" applyFont="1" applyBorder="1" applyAlignment="1"/>
    <xf numFmtId="0" fontId="5" fillId="4" borderId="8" xfId="0" applyFont="1" applyFill="1" applyBorder="1"/>
    <xf numFmtId="0" fontId="5" fillId="0" borderId="40" xfId="0" applyFont="1" applyBorder="1"/>
    <xf numFmtId="41" fontId="18" fillId="4" borderId="0" xfId="2" applyFont="1" applyFill="1"/>
    <xf numFmtId="41" fontId="20" fillId="4" borderId="12" xfId="2" applyFont="1" applyFill="1" applyBorder="1"/>
    <xf numFmtId="41" fontId="20" fillId="4" borderId="0" xfId="2" applyFont="1" applyFill="1" applyBorder="1"/>
    <xf numFmtId="0" fontId="20" fillId="0" borderId="1" xfId="0" applyFont="1" applyFill="1" applyBorder="1"/>
    <xf numFmtId="0" fontId="20" fillId="0" borderId="7" xfId="0" applyFont="1" applyFill="1" applyBorder="1"/>
    <xf numFmtId="0" fontId="20" fillId="4" borderId="12" xfId="0" applyFont="1" applyFill="1" applyBorder="1"/>
    <xf numFmtId="41" fontId="20" fillId="4" borderId="1" xfId="2" applyFont="1" applyFill="1" applyBorder="1"/>
    <xf numFmtId="41" fontId="20" fillId="4" borderId="8" xfId="2" applyFont="1" applyFill="1" applyBorder="1"/>
    <xf numFmtId="41" fontId="20" fillId="4" borderId="12" xfId="2" applyFont="1" applyFill="1" applyBorder="1" applyAlignment="1">
      <alignment horizontal="left" vertical="center"/>
    </xf>
    <xf numFmtId="41" fontId="18" fillId="4" borderId="12" xfId="2" applyFont="1" applyFill="1" applyBorder="1"/>
    <xf numFmtId="0" fontId="6" fillId="0" borderId="2" xfId="0" applyFont="1" applyBorder="1" applyAlignment="1"/>
    <xf numFmtId="0" fontId="6" fillId="0" borderId="3" xfId="0" applyFont="1" applyBorder="1" applyAlignment="1"/>
    <xf numFmtId="41" fontId="18" fillId="4" borderId="0" xfId="2" applyFont="1" applyFill="1" applyBorder="1"/>
    <xf numFmtId="41" fontId="20" fillId="4" borderId="11" xfId="2" applyFont="1" applyFill="1" applyBorder="1"/>
    <xf numFmtId="41" fontId="3" fillId="4" borderId="0" xfId="2" applyFont="1" applyFill="1" applyBorder="1"/>
    <xf numFmtId="41" fontId="32" fillId="4" borderId="12" xfId="2" applyFont="1" applyFill="1" applyBorder="1"/>
    <xf numFmtId="41" fontId="0" fillId="4" borderId="0" xfId="2" applyFont="1" applyFill="1"/>
    <xf numFmtId="41" fontId="18" fillId="4" borderId="16" xfId="2" applyFont="1" applyFill="1" applyBorder="1"/>
    <xf numFmtId="41" fontId="18" fillId="4" borderId="14" xfId="2" applyFont="1" applyFill="1" applyBorder="1"/>
    <xf numFmtId="41" fontId="33" fillId="4" borderId="12" xfId="2" applyFont="1" applyFill="1" applyBorder="1" applyAlignment="1"/>
    <xf numFmtId="41" fontId="33" fillId="4" borderId="0" xfId="2" applyFont="1" applyFill="1" applyBorder="1"/>
    <xf numFmtId="41" fontId="19" fillId="4" borderId="12" xfId="2" applyFont="1" applyFill="1" applyBorder="1" applyAlignment="1">
      <alignment horizontal="left"/>
    </xf>
    <xf numFmtId="41" fontId="34" fillId="4" borderId="12" xfId="2" applyFont="1" applyFill="1" applyBorder="1" applyAlignment="1">
      <alignment horizontal="right"/>
    </xf>
    <xf numFmtId="41" fontId="20" fillId="4" borderId="14" xfId="2" applyFont="1" applyFill="1" applyBorder="1"/>
    <xf numFmtId="41" fontId="20" fillId="4" borderId="34" xfId="2" applyFont="1" applyFill="1" applyBorder="1"/>
    <xf numFmtId="41" fontId="20" fillId="4" borderId="35" xfId="2" applyFont="1" applyFill="1" applyBorder="1"/>
    <xf numFmtId="0" fontId="10" fillId="0" borderId="5" xfId="0" applyFont="1" applyFill="1" applyBorder="1" applyAlignment="1"/>
    <xf numFmtId="0" fontId="6" fillId="0" borderId="29" xfId="0" applyFont="1" applyBorder="1" applyAlignment="1">
      <alignment horizontal="center"/>
    </xf>
    <xf numFmtId="0" fontId="6" fillId="0" borderId="20" xfId="0" applyFont="1" applyBorder="1" applyAlignment="1"/>
    <xf numFmtId="0" fontId="6" fillId="0" borderId="28" xfId="0" applyFont="1" applyBorder="1" applyAlignment="1"/>
    <xf numFmtId="0" fontId="6" fillId="0" borderId="29" xfId="0" applyFont="1" applyBorder="1" applyAlignment="1"/>
    <xf numFmtId="0" fontId="4" fillId="5" borderId="1" xfId="0" applyFont="1" applyFill="1" applyBorder="1" applyAlignment="1">
      <alignment horizontal="center"/>
    </xf>
    <xf numFmtId="0" fontId="35" fillId="0" borderId="1" xfId="0" applyFont="1" applyFill="1" applyBorder="1"/>
    <xf numFmtId="0" fontId="10" fillId="0" borderId="6" xfId="0" applyFont="1" applyFill="1" applyBorder="1"/>
    <xf numFmtId="0" fontId="35" fillId="0" borderId="6" xfId="0" applyFont="1" applyFill="1" applyBorder="1"/>
    <xf numFmtId="0" fontId="10" fillId="6" borderId="6" xfId="0" applyFont="1" applyFill="1" applyBorder="1"/>
    <xf numFmtId="0" fontId="20" fillId="0" borderId="1" xfId="0" applyFont="1" applyBorder="1"/>
    <xf numFmtId="0" fontId="10" fillId="2" borderId="0" xfId="0" applyFont="1" applyFill="1" applyBorder="1" applyAlignment="1">
      <alignment horizontal="center"/>
    </xf>
    <xf numFmtId="0" fontId="36" fillId="0" borderId="0" xfId="0" applyFont="1"/>
    <xf numFmtId="0" fontId="36" fillId="0" borderId="0" xfId="0" applyFont="1" applyFill="1"/>
    <xf numFmtId="0" fontId="36" fillId="2" borderId="0" xfId="0" applyFont="1" applyFill="1"/>
    <xf numFmtId="0" fontId="5" fillId="7" borderId="5" xfId="0" applyFont="1" applyFill="1" applyBorder="1"/>
    <xf numFmtId="0" fontId="0" fillId="7" borderId="5" xfId="0" applyFill="1" applyBorder="1"/>
    <xf numFmtId="43" fontId="0" fillId="0" borderId="0" xfId="0" applyNumberFormat="1"/>
    <xf numFmtId="0" fontId="5" fillId="7" borderId="1" xfId="0" applyFont="1" applyFill="1" applyBorder="1"/>
    <xf numFmtId="0" fontId="0" fillId="7" borderId="0" xfId="0" applyFill="1"/>
    <xf numFmtId="0" fontId="0" fillId="7" borderId="1" xfId="0" applyFill="1" applyBorder="1"/>
    <xf numFmtId="0" fontId="5" fillId="0" borderId="2" xfId="0" applyFont="1" applyFill="1" applyBorder="1"/>
    <xf numFmtId="0" fontId="5" fillId="0" borderId="4" xfId="0" applyFont="1" applyFill="1" applyBorder="1"/>
    <xf numFmtId="0" fontId="28" fillId="0" borderId="8" xfId="0" applyFont="1" applyBorder="1"/>
    <xf numFmtId="0" fontId="28" fillId="0" borderId="8" xfId="0" applyFont="1" applyFill="1" applyBorder="1"/>
    <xf numFmtId="0" fontId="17" fillId="0" borderId="8" xfId="0" applyFont="1" applyFill="1" applyBorder="1"/>
    <xf numFmtId="0" fontId="0" fillId="8" borderId="8" xfId="0" applyFill="1" applyBorder="1"/>
    <xf numFmtId="0" fontId="0" fillId="9" borderId="0" xfId="0" applyFill="1"/>
    <xf numFmtId="0" fontId="0" fillId="10" borderId="0" xfId="0" applyFill="1"/>
    <xf numFmtId="0" fontId="4" fillId="8" borderId="5" xfId="0" applyFont="1" applyFill="1" applyBorder="1"/>
    <xf numFmtId="0" fontId="10" fillId="8" borderId="1" xfId="0" applyFont="1" applyFill="1" applyBorder="1" applyAlignment="1">
      <alignment horizontal="center"/>
    </xf>
    <xf numFmtId="0" fontId="4" fillId="8" borderId="1" xfId="0" applyFont="1" applyFill="1" applyBorder="1"/>
    <xf numFmtId="0" fontId="4" fillId="8" borderId="1" xfId="0" applyFont="1" applyFill="1" applyBorder="1" applyAlignment="1"/>
    <xf numFmtId="0" fontId="8" fillId="8" borderId="1" xfId="0" applyFont="1" applyFill="1" applyBorder="1"/>
    <xf numFmtId="0" fontId="5" fillId="8" borderId="1" xfId="0" applyFont="1" applyFill="1" applyBorder="1"/>
    <xf numFmtId="0" fontId="5" fillId="8" borderId="5" xfId="0" applyFont="1" applyFill="1" applyBorder="1"/>
    <xf numFmtId="0" fontId="4" fillId="8" borderId="5" xfId="0" applyFont="1" applyFill="1" applyBorder="1" applyAlignment="1"/>
    <xf numFmtId="0" fontId="4" fillId="8" borderId="0" xfId="0" applyFont="1" applyFill="1" applyBorder="1"/>
    <xf numFmtId="0" fontId="4" fillId="8" borderId="0" xfId="0" applyFont="1" applyFill="1" applyBorder="1" applyAlignment="1"/>
    <xf numFmtId="0" fontId="10" fillId="8" borderId="1" xfId="0" applyFont="1" applyFill="1" applyBorder="1" applyAlignment="1">
      <alignment horizontal="left"/>
    </xf>
    <xf numFmtId="0" fontId="10" fillId="8" borderId="1" xfId="0" applyFont="1" applyFill="1" applyBorder="1" applyAlignment="1"/>
    <xf numFmtId="0" fontId="13" fillId="8" borderId="1" xfId="0" applyFont="1" applyFill="1" applyBorder="1" applyAlignment="1"/>
    <xf numFmtId="0" fontId="9" fillId="8" borderId="1" xfId="0" applyFont="1" applyFill="1" applyBorder="1" applyAlignment="1">
      <alignment horizontal="center"/>
    </xf>
    <xf numFmtId="0" fontId="9" fillId="8" borderId="1" xfId="0" applyFont="1" applyFill="1" applyBorder="1"/>
    <xf numFmtId="0" fontId="13" fillId="8" borderId="1" xfId="0" applyFont="1" applyFill="1" applyBorder="1" applyAlignment="1">
      <alignment horizontal="center"/>
    </xf>
    <xf numFmtId="0" fontId="7" fillId="8" borderId="1" xfId="0" applyFont="1" applyFill="1" applyBorder="1"/>
    <xf numFmtId="0" fontId="7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7" fillId="8" borderId="1" xfId="0" applyFont="1" applyFill="1" applyBorder="1" applyAlignment="1"/>
    <xf numFmtId="0" fontId="10" fillId="8" borderId="1" xfId="0" applyFont="1" applyFill="1" applyBorder="1"/>
    <xf numFmtId="0" fontId="12" fillId="8" borderId="1" xfId="0" applyFont="1" applyFill="1" applyBorder="1"/>
    <xf numFmtId="0" fontId="5" fillId="8" borderId="2" xfId="0" applyFont="1" applyFill="1" applyBorder="1"/>
    <xf numFmtId="0" fontId="0" fillId="8" borderId="1" xfId="0" applyFill="1" applyBorder="1"/>
    <xf numFmtId="0" fontId="4" fillId="8" borderId="5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27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46" xfId="0" applyFont="1" applyBorder="1" applyAlignment="1">
      <alignment horizontal="center"/>
    </xf>
  </cellXfs>
  <cellStyles count="3">
    <cellStyle name="Comma [0]" xfId="2" builtinId="6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7"/>
  <sheetViews>
    <sheetView topLeftCell="A354" zoomScale="95" zoomScaleNormal="95" workbookViewId="0">
      <selection activeCell="L96" sqref="L96"/>
    </sheetView>
  </sheetViews>
  <sheetFormatPr defaultRowHeight="14.4" x14ac:dyDescent="0.3"/>
  <cols>
    <col min="1" max="1" width="3.44140625" style="294" customWidth="1"/>
    <col min="2" max="2" width="37.44140625" style="294" bestFit="1" customWidth="1"/>
    <col min="3" max="3" width="12.77734375" style="294" customWidth="1"/>
    <col min="4" max="4" width="12.6640625" style="294" customWidth="1"/>
    <col min="5" max="6" width="8.88671875" style="294" bestFit="1" customWidth="1"/>
    <col min="7" max="7" width="7.77734375" style="294" customWidth="1"/>
    <col min="8" max="8" width="8.6640625" style="294" customWidth="1"/>
    <col min="9" max="9" width="8.88671875" style="294"/>
    <col min="10" max="10" width="9.21875" style="294" customWidth="1"/>
    <col min="11" max="11" width="20.21875" style="294" customWidth="1"/>
    <col min="12" max="24" width="8.88671875" style="294"/>
    <col min="25" max="25" width="3.77734375" style="294" customWidth="1"/>
    <col min="26" max="28" width="8.88671875" style="294" hidden="1" customWidth="1"/>
    <col min="29" max="16384" width="8.88671875" style="294"/>
  </cols>
  <sheetData>
    <row r="1" spans="1:30" ht="16.2" thickBot="1" x14ac:dyDescent="0.35">
      <c r="A1" s="353" t="s">
        <v>1217</v>
      </c>
      <c r="B1" s="112"/>
      <c r="C1" s="281"/>
      <c r="D1" s="281"/>
      <c r="E1" s="281"/>
      <c r="F1" s="281"/>
      <c r="G1" s="281"/>
      <c r="H1" s="281"/>
      <c r="I1" s="281"/>
      <c r="J1" s="281"/>
      <c r="K1" s="281"/>
    </row>
    <row r="2" spans="1:30" ht="27.6" thickBot="1" x14ac:dyDescent="0.35">
      <c r="A2" s="354" t="s">
        <v>0</v>
      </c>
      <c r="B2" s="295" t="s">
        <v>1</v>
      </c>
      <c r="C2" s="354" t="s">
        <v>2</v>
      </c>
      <c r="D2" s="355" t="s">
        <v>854</v>
      </c>
      <c r="E2" s="573" t="s">
        <v>855</v>
      </c>
      <c r="F2" s="574"/>
      <c r="G2" s="574"/>
      <c r="H2" s="575"/>
      <c r="I2" s="356"/>
      <c r="J2" s="357" t="s">
        <v>856</v>
      </c>
      <c r="K2" s="295" t="s">
        <v>3</v>
      </c>
      <c r="AC2" s="281"/>
      <c r="AD2" s="281"/>
    </row>
    <row r="3" spans="1:30" ht="16.2" thickBot="1" x14ac:dyDescent="0.35">
      <c r="A3" s="292">
        <v>1</v>
      </c>
      <c r="B3" s="134" t="s">
        <v>1340</v>
      </c>
      <c r="C3" s="267"/>
      <c r="D3" s="281">
        <v>6672</v>
      </c>
      <c r="E3" s="281">
        <v>2040</v>
      </c>
      <c r="F3" s="281">
        <v>3000</v>
      </c>
      <c r="G3" s="281"/>
      <c r="H3" s="281"/>
      <c r="I3" s="281">
        <f>SUM(E3:H3)</f>
        <v>5040</v>
      </c>
      <c r="J3" s="281">
        <f>D3-E3-F3-G3-H3</f>
        <v>1632</v>
      </c>
      <c r="K3" s="281"/>
    </row>
    <row r="4" spans="1:30" ht="16.2" thickBot="1" x14ac:dyDescent="0.35">
      <c r="A4" s="292">
        <v>2</v>
      </c>
      <c r="B4" s="132" t="s">
        <v>1341</v>
      </c>
      <c r="C4" s="267"/>
      <c r="D4" s="281">
        <v>6672</v>
      </c>
      <c r="E4" s="281">
        <v>2040</v>
      </c>
      <c r="F4" s="281">
        <v>3960</v>
      </c>
      <c r="G4" s="281">
        <v>672</v>
      </c>
      <c r="H4" s="281"/>
      <c r="I4" s="281">
        <f t="shared" ref="I4:I7" si="0">SUM(E4:H4)</f>
        <v>6672</v>
      </c>
      <c r="J4" s="281">
        <f t="shared" ref="J4:J7" si="1">D4-E4-F4-G4-H4</f>
        <v>0</v>
      </c>
      <c r="K4" s="281" t="s">
        <v>1395</v>
      </c>
    </row>
    <row r="5" spans="1:30" ht="16.2" thickBot="1" x14ac:dyDescent="0.35">
      <c r="A5" s="292">
        <v>3</v>
      </c>
      <c r="B5" s="131" t="s">
        <v>1418</v>
      </c>
      <c r="C5" s="267"/>
      <c r="D5" s="281">
        <v>6672</v>
      </c>
      <c r="E5" s="281">
        <v>2040</v>
      </c>
      <c r="F5" s="358">
        <v>2300</v>
      </c>
      <c r="G5" s="358"/>
      <c r="H5" s="358"/>
      <c r="I5" s="281">
        <f t="shared" si="0"/>
        <v>4340</v>
      </c>
      <c r="J5" s="281">
        <f t="shared" si="1"/>
        <v>2332</v>
      </c>
      <c r="K5" s="281"/>
    </row>
    <row r="6" spans="1:30" ht="16.2" thickBot="1" x14ac:dyDescent="0.35">
      <c r="A6" s="292">
        <v>4</v>
      </c>
      <c r="B6" s="134" t="s">
        <v>1453</v>
      </c>
      <c r="C6" s="267"/>
      <c r="D6" s="281">
        <v>6672</v>
      </c>
      <c r="E6" s="281">
        <v>2040</v>
      </c>
      <c r="F6" s="281">
        <v>1500</v>
      </c>
      <c r="G6" s="281"/>
      <c r="H6" s="281"/>
      <c r="I6" s="281">
        <f t="shared" si="0"/>
        <v>3540</v>
      </c>
      <c r="J6" s="281">
        <f t="shared" si="1"/>
        <v>3132</v>
      </c>
      <c r="K6" s="281"/>
    </row>
    <row r="7" spans="1:30" ht="16.2" thickBot="1" x14ac:dyDescent="0.35">
      <c r="A7" s="292">
        <v>5</v>
      </c>
      <c r="B7" s="131" t="s">
        <v>1455</v>
      </c>
      <c r="C7" s="267"/>
      <c r="D7" s="281">
        <v>6672</v>
      </c>
      <c r="E7" s="281">
        <v>2040</v>
      </c>
      <c r="F7" s="281">
        <v>2250</v>
      </c>
      <c r="G7" s="281"/>
      <c r="H7" s="281"/>
      <c r="I7" s="281">
        <f t="shared" si="0"/>
        <v>4290</v>
      </c>
      <c r="J7" s="281">
        <f t="shared" si="1"/>
        <v>2382</v>
      </c>
      <c r="K7" s="281"/>
    </row>
    <row r="8" spans="1:30" x14ac:dyDescent="0.3">
      <c r="D8" s="493">
        <f t="shared" ref="D8:J8" si="2">SUM(D3:D7)</f>
        <v>33360</v>
      </c>
      <c r="E8" s="493">
        <f t="shared" si="2"/>
        <v>10200</v>
      </c>
      <c r="F8" s="493">
        <f t="shared" si="2"/>
        <v>13010</v>
      </c>
      <c r="G8" s="493">
        <f t="shared" si="2"/>
        <v>672</v>
      </c>
      <c r="H8" s="493">
        <f t="shared" si="2"/>
        <v>0</v>
      </c>
      <c r="I8" s="493">
        <f t="shared" si="2"/>
        <v>23882</v>
      </c>
      <c r="J8" s="493">
        <f t="shared" si="2"/>
        <v>9478</v>
      </c>
    </row>
    <row r="10" spans="1:30" ht="15" thickBot="1" x14ac:dyDescent="0.35"/>
    <row r="11" spans="1:30" ht="16.2" thickBot="1" x14ac:dyDescent="0.35">
      <c r="A11" s="353" t="s">
        <v>1218</v>
      </c>
      <c r="B11" s="112"/>
      <c r="C11" s="281"/>
      <c r="D11" s="281"/>
      <c r="E11" s="281"/>
      <c r="F11" s="281"/>
      <c r="G11" s="281"/>
      <c r="H11" s="281"/>
      <c r="I11" s="281"/>
      <c r="J11" s="281"/>
      <c r="K11" s="281"/>
    </row>
    <row r="12" spans="1:30" ht="27.6" thickBot="1" x14ac:dyDescent="0.35">
      <c r="A12" s="354" t="s">
        <v>0</v>
      </c>
      <c r="B12" s="295" t="s">
        <v>1</v>
      </c>
      <c r="C12" s="354" t="s">
        <v>2</v>
      </c>
      <c r="D12" s="355" t="s">
        <v>854</v>
      </c>
      <c r="E12" s="573" t="s">
        <v>855</v>
      </c>
      <c r="F12" s="574"/>
      <c r="G12" s="574"/>
      <c r="H12" s="575"/>
      <c r="I12" s="356"/>
      <c r="J12" s="357" t="s">
        <v>856</v>
      </c>
      <c r="K12" s="295" t="s">
        <v>3</v>
      </c>
    </row>
    <row r="13" spans="1:30" ht="16.2" thickBot="1" x14ac:dyDescent="0.35">
      <c r="A13" s="292">
        <v>1</v>
      </c>
      <c r="B13" s="134" t="s">
        <v>346</v>
      </c>
      <c r="C13" s="267">
        <v>2778</v>
      </c>
      <c r="D13" s="281">
        <v>3538</v>
      </c>
      <c r="E13" s="281">
        <v>2000</v>
      </c>
      <c r="F13" s="281"/>
      <c r="G13" s="281"/>
      <c r="H13" s="281"/>
      <c r="I13" s="281">
        <f>SUM(E13:H13)</f>
        <v>2000</v>
      </c>
      <c r="J13" s="281">
        <f>D13-E13-F13-G13-H13</f>
        <v>1538</v>
      </c>
      <c r="K13" s="281" t="s">
        <v>1395</v>
      </c>
    </row>
    <row r="14" spans="1:30" ht="16.2" thickBot="1" x14ac:dyDescent="0.35">
      <c r="A14" s="292">
        <v>2</v>
      </c>
      <c r="B14" s="132" t="s">
        <v>355</v>
      </c>
      <c r="C14" s="267">
        <v>2774</v>
      </c>
      <c r="D14" s="281">
        <v>3538</v>
      </c>
      <c r="E14" s="281">
        <v>1000</v>
      </c>
      <c r="F14" s="281"/>
      <c r="G14" s="281"/>
      <c r="H14" s="281"/>
      <c r="I14" s="281">
        <f t="shared" ref="I14:I20" si="3">SUM(E14:H14)</f>
        <v>1000</v>
      </c>
      <c r="J14" s="281">
        <f t="shared" ref="J14:J20" si="4">D14-E14-F14-G14-H14</f>
        <v>2538</v>
      </c>
      <c r="K14" s="281" t="s">
        <v>1395</v>
      </c>
    </row>
    <row r="15" spans="1:30" ht="16.2" thickBot="1" x14ac:dyDescent="0.35">
      <c r="A15" s="292">
        <v>3</v>
      </c>
      <c r="B15" s="131" t="s">
        <v>353</v>
      </c>
      <c r="C15" s="267">
        <v>2775</v>
      </c>
      <c r="D15" s="281">
        <v>3538</v>
      </c>
      <c r="E15" s="358">
        <v>1738</v>
      </c>
      <c r="F15" s="358"/>
      <c r="G15" s="358"/>
      <c r="H15" s="358"/>
      <c r="I15" s="281">
        <f t="shared" si="3"/>
        <v>1738</v>
      </c>
      <c r="J15" s="281">
        <f t="shared" si="4"/>
        <v>1800</v>
      </c>
      <c r="K15" s="359"/>
    </row>
    <row r="16" spans="1:30" ht="16.2" thickBot="1" x14ac:dyDescent="0.35">
      <c r="A16" s="292">
        <v>4</v>
      </c>
      <c r="B16" s="134" t="s">
        <v>356</v>
      </c>
      <c r="C16" s="267">
        <v>2775</v>
      </c>
      <c r="D16" s="281">
        <v>3538</v>
      </c>
      <c r="E16" s="281"/>
      <c r="F16" s="281"/>
      <c r="G16" s="281"/>
      <c r="H16" s="281"/>
      <c r="I16" s="281">
        <f t="shared" si="3"/>
        <v>0</v>
      </c>
      <c r="J16" s="281">
        <f t="shared" si="4"/>
        <v>3538</v>
      </c>
      <c r="K16" s="281"/>
    </row>
    <row r="17" spans="1:11" ht="16.2" thickBot="1" x14ac:dyDescent="0.35">
      <c r="A17" s="292">
        <v>5</v>
      </c>
      <c r="B17" s="131" t="s">
        <v>354</v>
      </c>
      <c r="C17" s="267">
        <v>2776</v>
      </c>
      <c r="D17" s="281">
        <v>3538</v>
      </c>
      <c r="E17" s="281">
        <v>1000</v>
      </c>
      <c r="F17" s="281"/>
      <c r="G17" s="281"/>
      <c r="H17" s="281"/>
      <c r="I17" s="281">
        <f t="shared" si="3"/>
        <v>1000</v>
      </c>
      <c r="J17" s="281">
        <f t="shared" si="4"/>
        <v>2538</v>
      </c>
      <c r="K17" s="281" t="s">
        <v>1395</v>
      </c>
    </row>
    <row r="18" spans="1:11" ht="16.2" thickBot="1" x14ac:dyDescent="0.35">
      <c r="A18" s="292">
        <v>6</v>
      </c>
      <c r="B18" s="131" t="s">
        <v>347</v>
      </c>
      <c r="C18" s="267">
        <v>2778</v>
      </c>
      <c r="D18" s="281">
        <v>3538</v>
      </c>
      <c r="E18" s="281">
        <v>1500</v>
      </c>
      <c r="F18" s="281">
        <v>2040</v>
      </c>
      <c r="G18" s="281"/>
      <c r="H18" s="281"/>
      <c r="I18" s="281">
        <f t="shared" si="3"/>
        <v>3540</v>
      </c>
      <c r="J18" s="281">
        <f t="shared" si="4"/>
        <v>-2</v>
      </c>
      <c r="K18" s="281" t="s">
        <v>1395</v>
      </c>
    </row>
    <row r="19" spans="1:11" ht="16.2" thickBot="1" x14ac:dyDescent="0.35">
      <c r="A19" s="292">
        <v>7</v>
      </c>
      <c r="B19" s="131" t="s">
        <v>857</v>
      </c>
      <c r="C19" s="267"/>
      <c r="D19" s="281">
        <v>3538</v>
      </c>
      <c r="E19" s="281"/>
      <c r="F19" s="281"/>
      <c r="G19" s="281"/>
      <c r="H19" s="281"/>
      <c r="I19" s="281">
        <f t="shared" si="3"/>
        <v>0</v>
      </c>
      <c r="J19" s="281">
        <f t="shared" si="4"/>
        <v>3538</v>
      </c>
      <c r="K19" s="281"/>
    </row>
    <row r="20" spans="1:11" ht="16.2" thickBot="1" x14ac:dyDescent="0.35">
      <c r="A20" s="316">
        <v>8</v>
      </c>
      <c r="B20" s="282" t="s">
        <v>876</v>
      </c>
      <c r="C20" s="283">
        <v>2812</v>
      </c>
      <c r="D20" s="281">
        <v>3538</v>
      </c>
      <c r="E20" s="352"/>
      <c r="F20" s="352"/>
      <c r="G20" s="352"/>
      <c r="H20" s="352"/>
      <c r="I20" s="281">
        <f t="shared" si="3"/>
        <v>0</v>
      </c>
      <c r="J20" s="281">
        <f t="shared" si="4"/>
        <v>3538</v>
      </c>
      <c r="K20" s="352"/>
    </row>
    <row r="21" spans="1:11" ht="15.6" x14ac:dyDescent="0.3">
      <c r="A21" s="145"/>
      <c r="B21" s="146"/>
      <c r="C21" s="145"/>
      <c r="D21" s="494">
        <f>SUM(D13:D20)</f>
        <v>28304</v>
      </c>
      <c r="E21" s="494">
        <f t="shared" ref="E21:J21" si="5">SUM(E13:E20)</f>
        <v>7238</v>
      </c>
      <c r="F21" s="494">
        <f t="shared" si="5"/>
        <v>2040</v>
      </c>
      <c r="G21" s="494">
        <f t="shared" si="5"/>
        <v>0</v>
      </c>
      <c r="H21" s="494">
        <f t="shared" si="5"/>
        <v>0</v>
      </c>
      <c r="I21" s="494">
        <f t="shared" si="5"/>
        <v>9278</v>
      </c>
      <c r="J21" s="494">
        <f t="shared" si="5"/>
        <v>19026</v>
      </c>
      <c r="K21" s="147"/>
    </row>
    <row r="22" spans="1:11" ht="15.6" x14ac:dyDescent="0.3">
      <c r="A22" s="141"/>
      <c r="B22" s="300"/>
      <c r="C22" s="360"/>
      <c r="D22" s="142"/>
      <c r="E22" s="142"/>
      <c r="F22" s="142"/>
      <c r="G22" s="142"/>
      <c r="H22" s="142"/>
      <c r="I22" s="142"/>
      <c r="J22" s="142"/>
      <c r="K22" s="142"/>
    </row>
    <row r="23" spans="1:11" ht="15.6" x14ac:dyDescent="0.3">
      <c r="A23" s="361"/>
      <c r="B23" s="303"/>
      <c r="C23" s="361"/>
      <c r="D23" s="279"/>
      <c r="E23" s="279"/>
      <c r="F23" s="279"/>
      <c r="G23" s="279"/>
      <c r="H23" s="279"/>
      <c r="I23" s="279"/>
      <c r="J23" s="279"/>
      <c r="K23" s="279"/>
    </row>
    <row r="24" spans="1:11" ht="16.2" thickBot="1" x14ac:dyDescent="0.35">
      <c r="A24" s="362" t="s">
        <v>1219</v>
      </c>
      <c r="B24" s="309"/>
      <c r="C24" s="363"/>
      <c r="D24" s="363"/>
      <c r="E24" s="363"/>
      <c r="F24" s="363"/>
      <c r="G24" s="363"/>
      <c r="H24" s="363"/>
      <c r="I24" s="363"/>
      <c r="J24" s="363"/>
      <c r="K24" s="363"/>
    </row>
    <row r="25" spans="1:11" ht="27.6" thickBot="1" x14ac:dyDescent="0.35">
      <c r="A25" s="354" t="s">
        <v>0</v>
      </c>
      <c r="B25" s="295" t="s">
        <v>1</v>
      </c>
      <c r="C25" s="354" t="s">
        <v>2</v>
      </c>
      <c r="D25" s="355" t="s">
        <v>854</v>
      </c>
      <c r="E25" s="573" t="s">
        <v>855</v>
      </c>
      <c r="F25" s="574"/>
      <c r="G25" s="574"/>
      <c r="H25" s="575"/>
      <c r="I25" s="356"/>
      <c r="J25" s="357" t="s">
        <v>856</v>
      </c>
      <c r="K25" s="295" t="s">
        <v>3</v>
      </c>
    </row>
    <row r="26" spans="1:11" ht="16.2" thickBot="1" x14ac:dyDescent="0.35">
      <c r="A26" s="292">
        <v>1</v>
      </c>
      <c r="B26" s="131" t="s">
        <v>358</v>
      </c>
      <c r="C26" s="267">
        <v>1898</v>
      </c>
      <c r="D26" s="281">
        <v>3203</v>
      </c>
      <c r="E26" s="281">
        <v>2000</v>
      </c>
      <c r="F26" s="281">
        <v>1300</v>
      </c>
      <c r="G26" s="281"/>
      <c r="H26" s="281"/>
      <c r="I26" s="281">
        <f>SUM(E26:H26)</f>
        <v>3300</v>
      </c>
      <c r="J26" s="281">
        <f>D26-E26-F26-G26-H26</f>
        <v>-97</v>
      </c>
      <c r="K26" s="281" t="s">
        <v>1723</v>
      </c>
    </row>
    <row r="27" spans="1:11" ht="16.2" thickBot="1" x14ac:dyDescent="0.35">
      <c r="A27" s="292">
        <v>2</v>
      </c>
      <c r="B27" s="134" t="s">
        <v>357</v>
      </c>
      <c r="C27" s="267">
        <v>1901</v>
      </c>
      <c r="D27" s="281">
        <v>3203</v>
      </c>
      <c r="E27" s="281">
        <v>2245</v>
      </c>
      <c r="F27" s="281">
        <v>958</v>
      </c>
      <c r="G27" s="281"/>
      <c r="H27" s="281"/>
      <c r="I27" s="281">
        <f t="shared" ref="I27:I30" si="6">SUM(E27:H27)</f>
        <v>3203</v>
      </c>
      <c r="J27" s="281">
        <f t="shared" ref="J27:J30" si="7">D27-E27-F27-G27-H27</f>
        <v>0</v>
      </c>
      <c r="K27" s="281"/>
    </row>
    <row r="28" spans="1:11" ht="16.2" thickBot="1" x14ac:dyDescent="0.35">
      <c r="A28" s="292">
        <v>3</v>
      </c>
      <c r="B28" s="131" t="s">
        <v>655</v>
      </c>
      <c r="C28" s="267">
        <v>1902</v>
      </c>
      <c r="D28" s="281">
        <v>3203</v>
      </c>
      <c r="E28" s="281">
        <v>3203</v>
      </c>
      <c r="F28" s="281"/>
      <c r="G28" s="281"/>
      <c r="H28" s="281"/>
      <c r="I28" s="281">
        <f t="shared" si="6"/>
        <v>3203</v>
      </c>
      <c r="J28" s="281">
        <f t="shared" si="7"/>
        <v>0</v>
      </c>
      <c r="K28" s="281"/>
    </row>
    <row r="29" spans="1:11" ht="16.2" thickBot="1" x14ac:dyDescent="0.35">
      <c r="A29" s="292">
        <v>4</v>
      </c>
      <c r="B29" s="131" t="s">
        <v>11</v>
      </c>
      <c r="C29" s="267">
        <v>2661</v>
      </c>
      <c r="D29" s="281">
        <v>3203</v>
      </c>
      <c r="E29" s="281"/>
      <c r="F29" s="281"/>
      <c r="G29" s="281"/>
      <c r="H29" s="281"/>
      <c r="I29" s="281">
        <f t="shared" si="6"/>
        <v>0</v>
      </c>
      <c r="J29" s="281">
        <f t="shared" si="7"/>
        <v>3203</v>
      </c>
      <c r="K29" s="281"/>
    </row>
    <row r="30" spans="1:11" ht="16.2" thickBot="1" x14ac:dyDescent="0.35">
      <c r="A30" s="292">
        <v>5</v>
      </c>
      <c r="B30" s="132" t="s">
        <v>967</v>
      </c>
      <c r="C30" s="267">
        <v>1910</v>
      </c>
      <c r="D30" s="281">
        <v>3203</v>
      </c>
      <c r="E30" s="281">
        <v>1950</v>
      </c>
      <c r="F30" s="281"/>
      <c r="G30" s="281"/>
      <c r="H30" s="281"/>
      <c r="I30" s="281">
        <f t="shared" si="6"/>
        <v>1950</v>
      </c>
      <c r="J30" s="281">
        <f t="shared" si="7"/>
        <v>1253</v>
      </c>
      <c r="K30" s="281" t="s">
        <v>1395</v>
      </c>
    </row>
    <row r="31" spans="1:11" ht="15.6" x14ac:dyDescent="0.3">
      <c r="A31" s="141"/>
      <c r="B31" s="414"/>
      <c r="C31" s="360"/>
      <c r="D31" s="495">
        <f>SUM(D26:D30)</f>
        <v>16015</v>
      </c>
      <c r="E31" s="495">
        <f t="shared" ref="E31:J31" si="8">SUM(E26:E30)</f>
        <v>9398</v>
      </c>
      <c r="F31" s="495">
        <f t="shared" si="8"/>
        <v>2258</v>
      </c>
      <c r="G31" s="495">
        <f t="shared" si="8"/>
        <v>0</v>
      </c>
      <c r="H31" s="495">
        <f t="shared" si="8"/>
        <v>0</v>
      </c>
      <c r="I31" s="495">
        <f t="shared" si="8"/>
        <v>11656</v>
      </c>
      <c r="J31" s="495">
        <f t="shared" si="8"/>
        <v>4359</v>
      </c>
      <c r="K31" s="142"/>
    </row>
    <row r="32" spans="1:11" ht="15.6" x14ac:dyDescent="0.3">
      <c r="A32" s="141"/>
      <c r="B32" s="414"/>
      <c r="C32" s="360"/>
      <c r="D32" s="142"/>
      <c r="E32" s="142"/>
      <c r="F32" s="142"/>
      <c r="G32" s="142"/>
      <c r="H32" s="142"/>
      <c r="I32" s="142"/>
      <c r="J32" s="142"/>
      <c r="K32" s="142"/>
    </row>
    <row r="33" spans="1:11" ht="15.6" x14ac:dyDescent="0.3">
      <c r="A33" s="145"/>
      <c r="B33" s="285"/>
      <c r="C33" s="365"/>
      <c r="D33" s="147"/>
      <c r="E33" s="147"/>
      <c r="F33" s="147"/>
      <c r="G33" s="147"/>
      <c r="H33" s="147"/>
      <c r="I33" s="147"/>
      <c r="J33" s="147"/>
      <c r="K33" s="147"/>
    </row>
    <row r="34" spans="1:11" ht="15.6" x14ac:dyDescent="0.3">
      <c r="A34" s="141"/>
      <c r="B34" s="188"/>
      <c r="C34" s="360"/>
      <c r="D34" s="142"/>
      <c r="E34" s="142"/>
      <c r="F34" s="142"/>
      <c r="G34" s="142"/>
      <c r="H34" s="142"/>
      <c r="I34" s="142"/>
      <c r="J34" s="142"/>
      <c r="K34" s="142"/>
    </row>
    <row r="35" spans="1:11" ht="15.6" x14ac:dyDescent="0.3">
      <c r="A35" s="361"/>
      <c r="B35" s="280"/>
      <c r="C35" s="280"/>
      <c r="D35" s="280"/>
      <c r="E35" s="280"/>
      <c r="F35" s="280"/>
      <c r="G35" s="280"/>
      <c r="H35" s="280"/>
      <c r="I35" s="280"/>
      <c r="J35" s="280"/>
      <c r="K35" s="280"/>
    </row>
    <row r="36" spans="1:11" ht="16.2" thickBot="1" x14ac:dyDescent="0.35">
      <c r="A36" s="362" t="s">
        <v>1729</v>
      </c>
      <c r="B36" s="309"/>
      <c r="C36" s="363"/>
      <c r="D36" s="363"/>
      <c r="E36" s="363"/>
      <c r="F36" s="363"/>
      <c r="G36" s="363"/>
      <c r="H36" s="363"/>
      <c r="I36" s="363"/>
      <c r="J36" s="363"/>
      <c r="K36" s="363"/>
    </row>
    <row r="37" spans="1:11" ht="27.6" thickBot="1" x14ac:dyDescent="0.35">
      <c r="A37" s="354" t="s">
        <v>0</v>
      </c>
      <c r="B37" s="295" t="s">
        <v>1</v>
      </c>
      <c r="C37" s="354" t="s">
        <v>2</v>
      </c>
      <c r="D37" s="355" t="s">
        <v>854</v>
      </c>
      <c r="E37" s="573" t="s">
        <v>855</v>
      </c>
      <c r="F37" s="574"/>
      <c r="G37" s="574"/>
      <c r="H37" s="575"/>
      <c r="I37" s="356"/>
      <c r="J37" s="357" t="s">
        <v>856</v>
      </c>
      <c r="K37" s="295" t="s">
        <v>3</v>
      </c>
    </row>
    <row r="38" spans="1:11" ht="16.2" thickBot="1" x14ac:dyDescent="0.35">
      <c r="A38" s="292">
        <v>1</v>
      </c>
      <c r="B38" s="131" t="s">
        <v>183</v>
      </c>
      <c r="C38" s="267">
        <v>1863</v>
      </c>
      <c r="D38" s="281">
        <v>2744</v>
      </c>
      <c r="E38" s="281">
        <v>1000</v>
      </c>
      <c r="F38" s="281">
        <v>1744</v>
      </c>
      <c r="G38" s="281"/>
      <c r="H38" s="281"/>
      <c r="I38" s="281">
        <f>SUM(E38:H38)</f>
        <v>2744</v>
      </c>
      <c r="J38" s="281">
        <f>D38-E38-F38-G38-H38</f>
        <v>0</v>
      </c>
      <c r="K38" s="281" t="s">
        <v>1395</v>
      </c>
    </row>
    <row r="39" spans="1:11" ht="16.2" thickBot="1" x14ac:dyDescent="0.35">
      <c r="A39" s="292">
        <v>2</v>
      </c>
      <c r="B39" s="132" t="s">
        <v>25</v>
      </c>
      <c r="C39" s="267"/>
      <c r="D39" s="281">
        <v>2744</v>
      </c>
      <c r="E39" s="281">
        <v>2744</v>
      </c>
      <c r="F39" s="281"/>
      <c r="G39" s="281"/>
      <c r="H39" s="281"/>
      <c r="I39" s="281">
        <f t="shared" ref="I39:I46" si="9">SUM(E39:H39)</f>
        <v>2744</v>
      </c>
      <c r="J39" s="281">
        <f t="shared" ref="J39:J46" si="10">D39-E39-F39-G39-H39</f>
        <v>0</v>
      </c>
      <c r="K39" s="281" t="s">
        <v>1395</v>
      </c>
    </row>
    <row r="40" spans="1:11" ht="16.2" thickBot="1" x14ac:dyDescent="0.35">
      <c r="A40" s="292">
        <v>3</v>
      </c>
      <c r="B40" s="550" t="s">
        <v>197</v>
      </c>
      <c r="C40" s="566">
        <v>1621</v>
      </c>
      <c r="D40" s="553">
        <v>2744</v>
      </c>
      <c r="E40" s="553"/>
      <c r="F40" s="553"/>
      <c r="G40" s="553"/>
      <c r="H40" s="553"/>
      <c r="I40" s="553">
        <f t="shared" si="9"/>
        <v>0</v>
      </c>
      <c r="J40" s="553">
        <f t="shared" si="10"/>
        <v>2744</v>
      </c>
      <c r="K40" s="553" t="s">
        <v>1730</v>
      </c>
    </row>
    <row r="41" spans="1:11" ht="16.2" thickBot="1" x14ac:dyDescent="0.35">
      <c r="A41" s="292">
        <v>4</v>
      </c>
      <c r="B41" s="131" t="s">
        <v>33</v>
      </c>
      <c r="C41" s="267">
        <v>1326</v>
      </c>
      <c r="D41" s="281">
        <v>2744</v>
      </c>
      <c r="E41" s="281"/>
      <c r="F41" s="281"/>
      <c r="G41" s="281"/>
      <c r="H41" s="281"/>
      <c r="I41" s="281">
        <f t="shared" si="9"/>
        <v>0</v>
      </c>
      <c r="J41" s="281">
        <f t="shared" si="10"/>
        <v>2744</v>
      </c>
      <c r="K41" s="281"/>
    </row>
    <row r="42" spans="1:11" ht="16.2" thickBot="1" x14ac:dyDescent="0.35">
      <c r="A42" s="292">
        <v>5</v>
      </c>
      <c r="B42" s="131" t="s">
        <v>102</v>
      </c>
      <c r="C42" s="267">
        <v>1622</v>
      </c>
      <c r="D42" s="281">
        <v>2744</v>
      </c>
      <c r="E42" s="281">
        <v>1400</v>
      </c>
      <c r="F42" s="281">
        <v>1000</v>
      </c>
      <c r="G42" s="281">
        <v>345</v>
      </c>
      <c r="H42" s="281"/>
      <c r="I42" s="281">
        <f t="shared" si="9"/>
        <v>2745</v>
      </c>
      <c r="J42" s="281">
        <f t="shared" si="10"/>
        <v>-1</v>
      </c>
      <c r="K42" s="281"/>
    </row>
    <row r="43" spans="1:11" ht="16.2" thickBot="1" x14ac:dyDescent="0.35">
      <c r="A43" s="292">
        <v>6</v>
      </c>
      <c r="B43" s="519" t="s">
        <v>1715</v>
      </c>
      <c r="C43" s="156">
        <v>1353</v>
      </c>
      <c r="D43" s="281">
        <v>2744</v>
      </c>
      <c r="E43" s="281">
        <v>2745</v>
      </c>
      <c r="F43" s="281"/>
      <c r="G43" s="281"/>
      <c r="H43" s="281"/>
      <c r="I43" s="281">
        <f t="shared" si="9"/>
        <v>2745</v>
      </c>
      <c r="J43" s="281">
        <f t="shared" si="10"/>
        <v>-1</v>
      </c>
      <c r="K43" s="281">
        <v>0</v>
      </c>
    </row>
    <row r="44" spans="1:11" ht="16.2" thickBot="1" x14ac:dyDescent="0.35">
      <c r="A44" s="292">
        <v>7</v>
      </c>
      <c r="B44" s="134" t="s">
        <v>678</v>
      </c>
      <c r="C44" s="267">
        <v>1354</v>
      </c>
      <c r="D44" s="281">
        <v>2744</v>
      </c>
      <c r="E44" s="281"/>
      <c r="F44" s="281"/>
      <c r="G44" s="281"/>
      <c r="H44" s="281"/>
      <c r="I44" s="281">
        <f t="shared" si="9"/>
        <v>0</v>
      </c>
      <c r="J44" s="281">
        <f t="shared" si="10"/>
        <v>2744</v>
      </c>
      <c r="K44" s="281"/>
    </row>
    <row r="45" spans="1:11" ht="16.2" thickBot="1" x14ac:dyDescent="0.35">
      <c r="A45" s="292">
        <v>8</v>
      </c>
      <c r="B45" s="131" t="s">
        <v>198</v>
      </c>
      <c r="C45" s="267">
        <v>1504</v>
      </c>
      <c r="D45" s="281">
        <v>2744</v>
      </c>
      <c r="E45" s="281">
        <v>1700</v>
      </c>
      <c r="F45" s="281">
        <v>1044</v>
      </c>
      <c r="G45" s="281"/>
      <c r="H45" s="281"/>
      <c r="I45" s="281">
        <f t="shared" si="9"/>
        <v>2744</v>
      </c>
      <c r="J45" s="281">
        <f t="shared" si="10"/>
        <v>0</v>
      </c>
      <c r="K45" s="281" t="s">
        <v>1395</v>
      </c>
    </row>
    <row r="46" spans="1:11" ht="16.2" thickBot="1" x14ac:dyDescent="0.35">
      <c r="A46" s="292">
        <v>9</v>
      </c>
      <c r="B46" s="282" t="s">
        <v>861</v>
      </c>
      <c r="C46" s="364"/>
      <c r="D46" s="281">
        <v>2744</v>
      </c>
      <c r="E46" s="284"/>
      <c r="F46" s="284"/>
      <c r="G46" s="284"/>
      <c r="H46" s="284"/>
      <c r="I46" s="284">
        <f t="shared" si="9"/>
        <v>0</v>
      </c>
      <c r="J46" s="284">
        <f t="shared" si="10"/>
        <v>2744</v>
      </c>
      <c r="K46" s="284"/>
    </row>
    <row r="47" spans="1:11" ht="15.6" x14ac:dyDescent="0.3">
      <c r="A47" s="145"/>
      <c r="B47" s="187"/>
      <c r="C47" s="365"/>
      <c r="D47" s="495">
        <f>SUM(D38:D46)</f>
        <v>24696</v>
      </c>
      <c r="E47" s="495">
        <f t="shared" ref="E47:J47" si="11">SUM(E38:E46)</f>
        <v>9589</v>
      </c>
      <c r="F47" s="495">
        <f t="shared" si="11"/>
        <v>3788</v>
      </c>
      <c r="G47" s="495">
        <f t="shared" si="11"/>
        <v>345</v>
      </c>
      <c r="H47" s="495">
        <f t="shared" si="11"/>
        <v>0</v>
      </c>
      <c r="I47" s="495">
        <f t="shared" si="11"/>
        <v>13722</v>
      </c>
      <c r="J47" s="495">
        <f t="shared" si="11"/>
        <v>10974</v>
      </c>
      <c r="K47" s="147"/>
    </row>
    <row r="48" spans="1:11" ht="15.6" x14ac:dyDescent="0.3">
      <c r="A48" s="141"/>
      <c r="B48" s="300"/>
      <c r="C48" s="360"/>
      <c r="D48" s="142"/>
      <c r="E48" s="142"/>
      <c r="F48" s="142"/>
      <c r="G48" s="142"/>
      <c r="H48" s="142"/>
      <c r="I48" s="142"/>
      <c r="J48" s="142"/>
      <c r="K48" s="142"/>
    </row>
    <row r="49" spans="1:11" ht="16.2" thickBot="1" x14ac:dyDescent="0.35">
      <c r="A49" s="362" t="s">
        <v>13</v>
      </c>
      <c r="B49" s="309"/>
      <c r="C49" s="363"/>
      <c r="D49" s="363"/>
      <c r="E49" s="363"/>
      <c r="F49" s="363"/>
      <c r="G49" s="363"/>
      <c r="H49" s="363"/>
      <c r="I49" s="363"/>
      <c r="J49" s="363"/>
      <c r="K49" s="363"/>
    </row>
    <row r="50" spans="1:11" ht="27.6" thickBot="1" x14ac:dyDescent="0.35">
      <c r="A50" s="354" t="s">
        <v>0</v>
      </c>
      <c r="B50" s="295" t="s">
        <v>1</v>
      </c>
      <c r="C50" s="354" t="s">
        <v>2</v>
      </c>
      <c r="D50" s="355" t="s">
        <v>854</v>
      </c>
      <c r="E50" s="573" t="s">
        <v>855</v>
      </c>
      <c r="F50" s="574"/>
      <c r="G50" s="574"/>
      <c r="H50" s="575"/>
      <c r="I50" s="356"/>
      <c r="J50" s="357" t="s">
        <v>856</v>
      </c>
      <c r="K50" s="295" t="s">
        <v>3</v>
      </c>
    </row>
    <row r="51" spans="1:11" ht="16.2" thickBot="1" x14ac:dyDescent="0.35">
      <c r="A51" s="292">
        <v>1</v>
      </c>
      <c r="B51" s="134" t="s">
        <v>1421</v>
      </c>
      <c r="C51" s="315"/>
      <c r="D51" s="281">
        <v>6672</v>
      </c>
      <c r="E51" s="281">
        <v>2040</v>
      </c>
      <c r="F51" s="281"/>
      <c r="G51" s="281"/>
      <c r="H51" s="281"/>
      <c r="I51" s="281">
        <f>SUM(E51:H51)</f>
        <v>2040</v>
      </c>
      <c r="J51" s="281">
        <f t="shared" ref="J51:J57" si="12">D51-E51-F51-G51-H51</f>
        <v>4632</v>
      </c>
      <c r="K51" s="281"/>
    </row>
    <row r="52" spans="1:11" ht="16.2" thickBot="1" x14ac:dyDescent="0.35">
      <c r="A52" s="292">
        <v>2</v>
      </c>
      <c r="B52" s="131" t="s">
        <v>1429</v>
      </c>
      <c r="C52" s="267"/>
      <c r="D52" s="281">
        <v>6672</v>
      </c>
      <c r="E52" s="281">
        <v>2040</v>
      </c>
      <c r="F52" s="281"/>
      <c r="G52" s="281"/>
      <c r="H52" s="281"/>
      <c r="I52" s="281">
        <f t="shared" ref="I52:I57" si="13">SUM(E52:H52)</f>
        <v>2040</v>
      </c>
      <c r="J52" s="281">
        <f t="shared" si="12"/>
        <v>4632</v>
      </c>
      <c r="K52" s="281"/>
    </row>
    <row r="53" spans="1:11" ht="16.2" thickBot="1" x14ac:dyDescent="0.35">
      <c r="A53" s="292">
        <v>3</v>
      </c>
      <c r="B53" s="131" t="s">
        <v>1470</v>
      </c>
      <c r="C53" s="267"/>
      <c r="D53" s="281">
        <v>6672</v>
      </c>
      <c r="E53" s="281">
        <v>2040</v>
      </c>
      <c r="F53" s="281">
        <v>4632</v>
      </c>
      <c r="G53" s="281"/>
      <c r="H53" s="281"/>
      <c r="I53" s="281">
        <f t="shared" si="13"/>
        <v>6672</v>
      </c>
      <c r="J53" s="281">
        <f t="shared" si="12"/>
        <v>0</v>
      </c>
      <c r="K53" s="281" t="s">
        <v>1378</v>
      </c>
    </row>
    <row r="54" spans="1:11" ht="15.6" x14ac:dyDescent="0.3">
      <c r="A54" s="316">
        <v>4</v>
      </c>
      <c r="B54" s="287" t="s">
        <v>1501</v>
      </c>
      <c r="C54" s="283"/>
      <c r="D54" s="284">
        <v>6672</v>
      </c>
      <c r="E54" s="284">
        <v>2040</v>
      </c>
      <c r="F54" s="284"/>
      <c r="G54" s="284"/>
      <c r="H54" s="284"/>
      <c r="I54" s="284">
        <f t="shared" si="13"/>
        <v>2040</v>
      </c>
      <c r="J54" s="284">
        <f t="shared" si="12"/>
        <v>4632</v>
      </c>
      <c r="K54" s="284"/>
    </row>
    <row r="55" spans="1:11" ht="15.6" x14ac:dyDescent="0.3">
      <c r="A55" s="273">
        <v>5</v>
      </c>
      <c r="B55" s="275" t="s">
        <v>1563</v>
      </c>
      <c r="C55" s="273"/>
      <c r="D55" s="271">
        <v>6672</v>
      </c>
      <c r="E55" s="271">
        <v>2040</v>
      </c>
      <c r="F55" s="271">
        <v>1500</v>
      </c>
      <c r="G55" s="271"/>
      <c r="H55" s="271"/>
      <c r="I55" s="271">
        <f t="shared" si="13"/>
        <v>3540</v>
      </c>
      <c r="J55" s="271">
        <f t="shared" si="12"/>
        <v>3132</v>
      </c>
      <c r="K55" s="271"/>
    </row>
    <row r="56" spans="1:11" ht="15.6" x14ac:dyDescent="0.3">
      <c r="A56" s="273">
        <v>6</v>
      </c>
      <c r="B56" s="275" t="s">
        <v>1569</v>
      </c>
      <c r="C56" s="273"/>
      <c r="D56" s="271">
        <v>6672</v>
      </c>
      <c r="E56" s="271">
        <v>4632</v>
      </c>
      <c r="F56" s="271">
        <v>2040</v>
      </c>
      <c r="G56" s="271"/>
      <c r="H56" s="271"/>
      <c r="I56" s="271">
        <f t="shared" si="13"/>
        <v>6672</v>
      </c>
      <c r="J56" s="271">
        <f t="shared" si="12"/>
        <v>0</v>
      </c>
      <c r="K56" s="271" t="s">
        <v>1378</v>
      </c>
    </row>
    <row r="57" spans="1:11" ht="15.6" x14ac:dyDescent="0.3">
      <c r="A57" s="273">
        <v>7</v>
      </c>
      <c r="B57" s="275" t="s">
        <v>1571</v>
      </c>
      <c r="C57" s="273">
        <v>3749</v>
      </c>
      <c r="D57" s="271">
        <v>6672</v>
      </c>
      <c r="E57" s="271">
        <v>2500</v>
      </c>
      <c r="F57" s="271"/>
      <c r="G57" s="271"/>
      <c r="H57" s="271"/>
      <c r="I57" s="271">
        <f t="shared" si="13"/>
        <v>2500</v>
      </c>
      <c r="J57" s="271">
        <f t="shared" si="12"/>
        <v>4172</v>
      </c>
      <c r="K57" s="271" t="s">
        <v>1378</v>
      </c>
    </row>
    <row r="58" spans="1:11" ht="15.6" x14ac:dyDescent="0.3">
      <c r="A58" s="141"/>
      <c r="B58" s="300"/>
      <c r="C58" s="141"/>
      <c r="D58" s="495">
        <f>SUM(D51:D57)</f>
        <v>46704</v>
      </c>
      <c r="E58" s="495">
        <f t="shared" ref="E58:J58" si="14">SUM(E51:E57)</f>
        <v>17332</v>
      </c>
      <c r="F58" s="495">
        <f t="shared" si="14"/>
        <v>8172</v>
      </c>
      <c r="G58" s="495">
        <f t="shared" si="14"/>
        <v>0</v>
      </c>
      <c r="H58" s="495">
        <f t="shared" si="14"/>
        <v>0</v>
      </c>
      <c r="I58" s="495">
        <f t="shared" si="14"/>
        <v>25504</v>
      </c>
      <c r="J58" s="495">
        <f t="shared" si="14"/>
        <v>21200</v>
      </c>
      <c r="K58" s="142"/>
    </row>
    <row r="59" spans="1:11" ht="15.6" x14ac:dyDescent="0.3">
      <c r="A59" s="141"/>
      <c r="B59" s="300"/>
      <c r="C59" s="141"/>
      <c r="D59" s="142"/>
      <c r="E59" s="142"/>
      <c r="F59" s="142"/>
      <c r="G59" s="142"/>
      <c r="H59" s="142"/>
      <c r="I59" s="142"/>
      <c r="J59" s="142"/>
      <c r="K59" s="142"/>
    </row>
    <row r="60" spans="1:11" ht="15.6" x14ac:dyDescent="0.3">
      <c r="A60" s="141"/>
      <c r="B60" s="300"/>
      <c r="C60" s="141"/>
      <c r="D60" s="142"/>
      <c r="E60" s="142"/>
      <c r="F60" s="142"/>
      <c r="G60" s="142"/>
      <c r="H60" s="142"/>
      <c r="I60" s="142"/>
      <c r="J60" s="142"/>
      <c r="K60" s="142"/>
    </row>
    <row r="61" spans="1:11" ht="16.2" thickBot="1" x14ac:dyDescent="0.35">
      <c r="A61" s="362" t="s">
        <v>1221</v>
      </c>
      <c r="B61" s="309"/>
      <c r="C61" s="363"/>
      <c r="D61" s="363"/>
      <c r="E61" s="363"/>
      <c r="F61" s="363"/>
      <c r="G61" s="363"/>
      <c r="H61" s="363"/>
      <c r="I61" s="363"/>
      <c r="J61" s="363"/>
      <c r="K61" s="363"/>
    </row>
    <row r="62" spans="1:11" ht="27.6" thickBot="1" x14ac:dyDescent="0.35">
      <c r="A62" s="354" t="s">
        <v>0</v>
      </c>
      <c r="B62" s="295" t="s">
        <v>1</v>
      </c>
      <c r="C62" s="354" t="s">
        <v>2</v>
      </c>
      <c r="D62" s="355" t="s">
        <v>854</v>
      </c>
      <c r="E62" s="573" t="s">
        <v>855</v>
      </c>
      <c r="F62" s="574"/>
      <c r="G62" s="574"/>
      <c r="H62" s="575"/>
      <c r="I62" s="356"/>
      <c r="J62" s="357" t="s">
        <v>856</v>
      </c>
      <c r="K62" s="295" t="s">
        <v>3</v>
      </c>
    </row>
    <row r="63" spans="1:11" ht="16.2" thickBot="1" x14ac:dyDescent="0.35">
      <c r="A63" s="292">
        <v>1</v>
      </c>
      <c r="B63" s="134" t="s">
        <v>359</v>
      </c>
      <c r="C63" s="315">
        <v>2822</v>
      </c>
      <c r="D63" s="281">
        <v>3538</v>
      </c>
      <c r="E63" s="281"/>
      <c r="F63" s="281"/>
      <c r="G63" s="281"/>
      <c r="H63" s="281"/>
      <c r="I63" s="281">
        <f>SUM(E63:H63)</f>
        <v>0</v>
      </c>
      <c r="J63" s="281">
        <f t="shared" ref="J63:J73" si="15">D63-E63-F63-G63-H63</f>
        <v>3538</v>
      </c>
      <c r="K63" s="281"/>
    </row>
    <row r="64" spans="1:11" ht="16.2" thickBot="1" x14ac:dyDescent="0.35">
      <c r="A64" s="292">
        <v>2</v>
      </c>
      <c r="B64" s="131" t="s">
        <v>361</v>
      </c>
      <c r="C64" s="267">
        <v>3001</v>
      </c>
      <c r="D64" s="281">
        <v>3538</v>
      </c>
      <c r="E64" s="281"/>
      <c r="F64" s="281"/>
      <c r="G64" s="281"/>
      <c r="H64" s="281"/>
      <c r="I64" s="281">
        <f t="shared" ref="I64:I73" si="16">SUM(E64:H64)</f>
        <v>0</v>
      </c>
      <c r="J64" s="281">
        <f t="shared" si="15"/>
        <v>3538</v>
      </c>
      <c r="K64" s="281"/>
    </row>
    <row r="65" spans="1:12" ht="16.2" thickBot="1" x14ac:dyDescent="0.35">
      <c r="A65" s="292">
        <v>3</v>
      </c>
      <c r="B65" s="131" t="s">
        <v>360</v>
      </c>
      <c r="C65" s="267">
        <v>2784</v>
      </c>
      <c r="D65" s="281">
        <v>3538</v>
      </c>
      <c r="E65" s="281"/>
      <c r="F65" s="281"/>
      <c r="G65" s="281"/>
      <c r="H65" s="281"/>
      <c r="I65" s="281">
        <f t="shared" si="16"/>
        <v>0</v>
      </c>
      <c r="J65" s="281">
        <f t="shared" si="15"/>
        <v>3538</v>
      </c>
      <c r="K65" s="281"/>
    </row>
    <row r="66" spans="1:12" ht="16.2" thickBot="1" x14ac:dyDescent="0.35">
      <c r="A66" s="292">
        <v>4</v>
      </c>
      <c r="B66" s="134" t="s">
        <v>349</v>
      </c>
      <c r="C66" s="315">
        <v>2960</v>
      </c>
      <c r="D66" s="281">
        <v>3538</v>
      </c>
      <c r="E66" s="281">
        <v>2948</v>
      </c>
      <c r="F66" s="281">
        <v>590</v>
      </c>
      <c r="G66" s="281"/>
      <c r="H66" s="281"/>
      <c r="I66" s="281">
        <f t="shared" si="16"/>
        <v>3538</v>
      </c>
      <c r="J66" s="281">
        <f t="shared" si="15"/>
        <v>0</v>
      </c>
      <c r="K66" s="281" t="s">
        <v>1395</v>
      </c>
    </row>
    <row r="67" spans="1:12" ht="16.2" thickBot="1" x14ac:dyDescent="0.35">
      <c r="A67" s="292">
        <v>5</v>
      </c>
      <c r="B67" s="112" t="s">
        <v>1163</v>
      </c>
      <c r="C67" s="267">
        <v>1913</v>
      </c>
      <c r="D67" s="281">
        <v>3538</v>
      </c>
      <c r="E67" s="281">
        <v>2000</v>
      </c>
      <c r="F67" s="281"/>
      <c r="G67" s="281"/>
      <c r="H67" s="281"/>
      <c r="I67" s="281"/>
      <c r="J67" s="281">
        <f t="shared" si="15"/>
        <v>1538</v>
      </c>
      <c r="K67" s="351" t="s">
        <v>1395</v>
      </c>
    </row>
    <row r="68" spans="1:12" ht="16.2" thickBot="1" x14ac:dyDescent="0.35">
      <c r="A68" s="292">
        <v>6</v>
      </c>
      <c r="B68" s="112" t="s">
        <v>350</v>
      </c>
      <c r="C68" s="292">
        <v>2790</v>
      </c>
      <c r="D68" s="281">
        <v>3538</v>
      </c>
      <c r="E68" s="281">
        <v>1000</v>
      </c>
      <c r="F68" s="281"/>
      <c r="G68" s="281"/>
      <c r="H68" s="281"/>
      <c r="I68" s="281">
        <f t="shared" si="16"/>
        <v>1000</v>
      </c>
      <c r="J68" s="281">
        <f t="shared" si="15"/>
        <v>2538</v>
      </c>
      <c r="K68" s="6" t="s">
        <v>1395</v>
      </c>
    </row>
    <row r="69" spans="1:12" ht="16.2" thickBot="1" x14ac:dyDescent="0.35">
      <c r="A69" s="566">
        <v>7</v>
      </c>
      <c r="B69" s="564" t="s">
        <v>348</v>
      </c>
      <c r="C69" s="565"/>
      <c r="D69" s="553">
        <v>3538</v>
      </c>
      <c r="E69" s="553"/>
      <c r="F69" s="553"/>
      <c r="G69" s="553"/>
      <c r="H69" s="553"/>
      <c r="I69" s="553">
        <f t="shared" si="16"/>
        <v>0</v>
      </c>
      <c r="J69" s="553">
        <f t="shared" si="15"/>
        <v>3538</v>
      </c>
      <c r="K69" s="553" t="s">
        <v>1736</v>
      </c>
    </row>
    <row r="70" spans="1:12" ht="16.2" thickBot="1" x14ac:dyDescent="0.35">
      <c r="A70" s="292">
        <v>8</v>
      </c>
      <c r="B70" s="112" t="s">
        <v>352</v>
      </c>
      <c r="C70" s="267">
        <v>2793</v>
      </c>
      <c r="D70" s="281">
        <v>3538</v>
      </c>
      <c r="E70" s="281">
        <v>3000</v>
      </c>
      <c r="F70" s="281">
        <v>800</v>
      </c>
      <c r="G70" s="281"/>
      <c r="H70" s="281"/>
      <c r="I70" s="281">
        <f t="shared" si="16"/>
        <v>3800</v>
      </c>
      <c r="J70" s="281">
        <f t="shared" si="15"/>
        <v>-262</v>
      </c>
      <c r="K70" s="281" t="s">
        <v>1395</v>
      </c>
    </row>
    <row r="71" spans="1:12" ht="16.2" thickBot="1" x14ac:dyDescent="0.35">
      <c r="A71" s="292"/>
      <c r="B71" s="112" t="s">
        <v>1599</v>
      </c>
      <c r="C71" s="267">
        <v>1238</v>
      </c>
      <c r="D71" s="281">
        <v>3538</v>
      </c>
      <c r="E71" s="281">
        <v>2000</v>
      </c>
      <c r="F71" s="281">
        <v>1540</v>
      </c>
      <c r="G71" s="281"/>
      <c r="H71" s="281"/>
      <c r="I71" s="281">
        <f t="shared" ref="I71" si="17">SUM(E71:H71)</f>
        <v>3540</v>
      </c>
      <c r="J71" s="281">
        <f t="shared" ref="J71" si="18">D71-E71-F71-G71-H71</f>
        <v>-2</v>
      </c>
      <c r="K71" s="281" t="s">
        <v>1395</v>
      </c>
    </row>
    <row r="72" spans="1:12" ht="16.2" thickBot="1" x14ac:dyDescent="0.35">
      <c r="A72" s="292">
        <v>9</v>
      </c>
      <c r="B72" s="131" t="s">
        <v>351</v>
      </c>
      <c r="C72" s="267">
        <v>2794</v>
      </c>
      <c r="D72" s="281">
        <v>3538</v>
      </c>
      <c r="E72" s="281">
        <v>2200</v>
      </c>
      <c r="F72" s="281"/>
      <c r="G72" s="281"/>
      <c r="H72" s="281"/>
      <c r="I72" s="281">
        <f t="shared" si="16"/>
        <v>2200</v>
      </c>
      <c r="J72" s="281">
        <f t="shared" si="15"/>
        <v>1338</v>
      </c>
      <c r="K72" s="281" t="s">
        <v>1395</v>
      </c>
    </row>
    <row r="73" spans="1:12" ht="16.2" thickBot="1" x14ac:dyDescent="0.35">
      <c r="A73" s="292">
        <v>10</v>
      </c>
      <c r="B73" s="287" t="s">
        <v>943</v>
      </c>
      <c r="C73" s="316"/>
      <c r="D73" s="281">
        <v>3538</v>
      </c>
      <c r="E73" s="284">
        <v>3540</v>
      </c>
      <c r="F73" s="284"/>
      <c r="G73" s="284"/>
      <c r="H73" s="284"/>
      <c r="I73" s="284">
        <f t="shared" si="16"/>
        <v>3540</v>
      </c>
      <c r="J73" s="284">
        <f t="shared" si="15"/>
        <v>-2</v>
      </c>
      <c r="K73" s="284" t="s">
        <v>1395</v>
      </c>
    </row>
    <row r="74" spans="1:12" ht="15.6" x14ac:dyDescent="0.3">
      <c r="A74" s="148"/>
      <c r="B74" s="148"/>
      <c r="C74" s="148"/>
      <c r="D74" s="494">
        <f>SUM(D63:D73)</f>
        <v>38918</v>
      </c>
      <c r="E74" s="494">
        <f t="shared" ref="E74:J74" si="19">SUM(E63:E73)</f>
        <v>16688</v>
      </c>
      <c r="F74" s="494">
        <f t="shared" si="19"/>
        <v>2930</v>
      </c>
      <c r="G74" s="494">
        <f t="shared" si="19"/>
        <v>0</v>
      </c>
      <c r="H74" s="494">
        <f t="shared" si="19"/>
        <v>0</v>
      </c>
      <c r="I74" s="494">
        <f t="shared" si="19"/>
        <v>17618</v>
      </c>
      <c r="J74" s="494">
        <f t="shared" si="19"/>
        <v>19300</v>
      </c>
      <c r="K74" s="147"/>
    </row>
    <row r="75" spans="1:12" ht="15.6" x14ac:dyDescent="0.3">
      <c r="A75" s="143"/>
      <c r="B75" s="143"/>
      <c r="C75" s="143"/>
      <c r="D75" s="142"/>
      <c r="E75" s="142"/>
      <c r="F75" s="142"/>
      <c r="G75" s="142"/>
      <c r="H75" s="142"/>
      <c r="I75" s="142"/>
      <c r="J75" s="142"/>
      <c r="K75" s="142"/>
    </row>
    <row r="76" spans="1:12" ht="15.6" x14ac:dyDescent="0.3">
      <c r="A76" s="280"/>
      <c r="B76" s="280"/>
      <c r="C76" s="280"/>
      <c r="D76" s="279"/>
      <c r="E76" s="279"/>
      <c r="F76" s="279"/>
      <c r="G76" s="279"/>
      <c r="H76" s="279"/>
      <c r="I76" s="279"/>
      <c r="J76" s="279"/>
      <c r="K76" s="279"/>
    </row>
    <row r="77" spans="1:12" ht="16.2" thickBot="1" x14ac:dyDescent="0.35">
      <c r="A77" s="362" t="s">
        <v>1220</v>
      </c>
      <c r="B77" s="309"/>
      <c r="C77" s="363"/>
      <c r="D77" s="363"/>
      <c r="E77" s="363"/>
      <c r="F77" s="363"/>
      <c r="G77" s="363"/>
      <c r="H77" s="363"/>
      <c r="I77" s="363"/>
      <c r="J77" s="363"/>
      <c r="K77" s="363"/>
    </row>
    <row r="78" spans="1:12" ht="27.6" thickBot="1" x14ac:dyDescent="0.35">
      <c r="A78" s="354" t="s">
        <v>0</v>
      </c>
      <c r="B78" s="295" t="s">
        <v>1</v>
      </c>
      <c r="C78" s="354" t="s">
        <v>2</v>
      </c>
      <c r="D78" s="355" t="s">
        <v>854</v>
      </c>
      <c r="E78" s="573" t="s">
        <v>855</v>
      </c>
      <c r="F78" s="574"/>
      <c r="G78" s="574"/>
      <c r="H78" s="575"/>
      <c r="I78" s="356"/>
      <c r="J78" s="357" t="s">
        <v>856</v>
      </c>
      <c r="K78" s="295" t="s">
        <v>3</v>
      </c>
      <c r="L78" s="366"/>
    </row>
    <row r="79" spans="1:12" ht="16.2" thickBot="1" x14ac:dyDescent="0.35">
      <c r="A79" s="292">
        <v>1</v>
      </c>
      <c r="B79" s="134" t="s">
        <v>366</v>
      </c>
      <c r="C79" s="315">
        <v>1905</v>
      </c>
      <c r="D79" s="281">
        <v>3203</v>
      </c>
      <c r="E79" s="281"/>
      <c r="F79" s="281"/>
      <c r="G79" s="281"/>
      <c r="H79" s="281"/>
      <c r="I79" s="281">
        <f>SUM(E79:H79)</f>
        <v>0</v>
      </c>
      <c r="J79" s="281">
        <f>D79-E79-F79-G79-H79</f>
        <v>3203</v>
      </c>
      <c r="K79" s="281"/>
      <c r="L79" s="367"/>
    </row>
    <row r="80" spans="1:12" ht="16.2" thickBot="1" x14ac:dyDescent="0.35">
      <c r="A80" s="292">
        <v>2</v>
      </c>
      <c r="B80" s="134" t="s">
        <v>362</v>
      </c>
      <c r="C80" s="315">
        <v>3195</v>
      </c>
      <c r="D80" s="281">
        <v>3203</v>
      </c>
      <c r="E80" s="281"/>
      <c r="F80" s="281"/>
      <c r="G80" s="281"/>
      <c r="H80" s="281"/>
      <c r="I80" s="281">
        <f t="shared" ref="I80:I95" si="20">SUM(E80:H80)</f>
        <v>0</v>
      </c>
      <c r="J80" s="281">
        <f>D80-E80-F80-G80-H80</f>
        <v>3203</v>
      </c>
      <c r="K80" s="281"/>
      <c r="L80" s="367"/>
    </row>
    <row r="81" spans="1:12" ht="16.2" thickBot="1" x14ac:dyDescent="0.35">
      <c r="A81" s="292">
        <v>3</v>
      </c>
      <c r="B81" s="131" t="s">
        <v>199</v>
      </c>
      <c r="C81" s="267">
        <v>1907</v>
      </c>
      <c r="D81" s="281">
        <v>3203</v>
      </c>
      <c r="E81" s="281">
        <v>2000</v>
      </c>
      <c r="F81" s="281">
        <v>884</v>
      </c>
      <c r="G81" s="281">
        <v>319</v>
      </c>
      <c r="H81" s="281"/>
      <c r="I81" s="281">
        <f t="shared" si="20"/>
        <v>3203</v>
      </c>
      <c r="J81" s="281">
        <f t="shared" ref="J81:J95" si="21">D81-E81-F81-G81-H81</f>
        <v>0</v>
      </c>
      <c r="K81" s="281" t="s">
        <v>1395</v>
      </c>
      <c r="L81" s="532" t="s">
        <v>1725</v>
      </c>
    </row>
    <row r="82" spans="1:12" ht="16.2" thickBot="1" x14ac:dyDescent="0.35">
      <c r="A82" s="292">
        <v>4</v>
      </c>
      <c r="B82" s="112" t="s">
        <v>364</v>
      </c>
      <c r="C82" s="292">
        <v>494</v>
      </c>
      <c r="D82" s="281">
        <v>3203</v>
      </c>
      <c r="E82" s="281">
        <v>1200</v>
      </c>
      <c r="F82" s="281"/>
      <c r="G82" s="281"/>
      <c r="H82" s="281"/>
      <c r="I82" s="281">
        <f t="shared" si="20"/>
        <v>1200</v>
      </c>
      <c r="J82" s="281">
        <f t="shared" si="21"/>
        <v>2003</v>
      </c>
      <c r="K82" s="281" t="s">
        <v>1395</v>
      </c>
      <c r="L82" s="367"/>
    </row>
    <row r="83" spans="1:12" ht="16.2" thickBot="1" x14ac:dyDescent="0.35">
      <c r="A83" s="292">
        <v>5</v>
      </c>
      <c r="B83" s="112" t="s">
        <v>363</v>
      </c>
      <c r="C83" s="267">
        <v>1909</v>
      </c>
      <c r="D83" s="281">
        <v>3203</v>
      </c>
      <c r="E83" s="281"/>
      <c r="F83" s="281"/>
      <c r="G83" s="281"/>
      <c r="H83" s="281"/>
      <c r="I83" s="281">
        <f t="shared" si="20"/>
        <v>0</v>
      </c>
      <c r="J83" s="281">
        <f t="shared" si="21"/>
        <v>3203</v>
      </c>
      <c r="K83" s="281"/>
      <c r="L83" s="367"/>
    </row>
    <row r="84" spans="1:12" ht="16.2" thickBot="1" x14ac:dyDescent="0.35">
      <c r="A84" s="292">
        <v>6</v>
      </c>
      <c r="B84" s="112" t="s">
        <v>372</v>
      </c>
      <c r="C84" s="292">
        <v>2649</v>
      </c>
      <c r="D84" s="281">
        <v>3203</v>
      </c>
      <c r="E84" s="281">
        <v>1000</v>
      </c>
      <c r="F84" s="281">
        <v>1203</v>
      </c>
      <c r="G84" s="281">
        <v>1000</v>
      </c>
      <c r="H84" s="281"/>
      <c r="I84" s="281">
        <f t="shared" si="20"/>
        <v>3203</v>
      </c>
      <c r="J84" s="281">
        <f t="shared" si="21"/>
        <v>0</v>
      </c>
      <c r="K84" s="281"/>
      <c r="L84" s="367"/>
    </row>
    <row r="85" spans="1:12" ht="16.2" thickBot="1" x14ac:dyDescent="0.35">
      <c r="A85" s="292">
        <v>7</v>
      </c>
      <c r="B85" s="134" t="s">
        <v>367</v>
      </c>
      <c r="C85" s="292">
        <v>1910</v>
      </c>
      <c r="D85" s="281">
        <v>3203</v>
      </c>
      <c r="E85" s="281"/>
      <c r="F85" s="281"/>
      <c r="G85" s="281"/>
      <c r="H85" s="281"/>
      <c r="I85" s="281">
        <f t="shared" si="20"/>
        <v>0</v>
      </c>
      <c r="J85" s="281">
        <f t="shared" si="21"/>
        <v>3203</v>
      </c>
      <c r="K85" s="281"/>
      <c r="L85" s="367"/>
    </row>
    <row r="86" spans="1:12" ht="16.2" thickBot="1" x14ac:dyDescent="0.35">
      <c r="A86" s="292">
        <v>8</v>
      </c>
      <c r="B86" s="112" t="s">
        <v>371</v>
      </c>
      <c r="C86" s="292">
        <v>1897</v>
      </c>
      <c r="D86" s="281">
        <v>3203</v>
      </c>
      <c r="E86" s="281">
        <v>903</v>
      </c>
      <c r="F86" s="281">
        <v>500</v>
      </c>
      <c r="G86" s="281"/>
      <c r="H86" s="281"/>
      <c r="I86" s="281">
        <f t="shared" si="20"/>
        <v>1403</v>
      </c>
      <c r="J86" s="281">
        <f t="shared" si="21"/>
        <v>1800</v>
      </c>
      <c r="K86" s="281"/>
      <c r="L86" s="367"/>
    </row>
    <row r="87" spans="1:12" ht="16.2" thickBot="1" x14ac:dyDescent="0.35">
      <c r="A87" s="292">
        <v>9</v>
      </c>
      <c r="B87" s="112" t="s">
        <v>369</v>
      </c>
      <c r="C87" s="292">
        <v>1851</v>
      </c>
      <c r="D87" s="281">
        <v>3203</v>
      </c>
      <c r="E87" s="281"/>
      <c r="F87" s="281"/>
      <c r="G87" s="281"/>
      <c r="H87" s="281"/>
      <c r="I87" s="281">
        <f t="shared" si="20"/>
        <v>0</v>
      </c>
      <c r="J87" s="281">
        <f t="shared" si="21"/>
        <v>3203</v>
      </c>
      <c r="K87" s="281"/>
      <c r="L87" s="367"/>
    </row>
    <row r="88" spans="1:12" ht="16.2" thickBot="1" x14ac:dyDescent="0.35">
      <c r="A88" s="292">
        <v>10</v>
      </c>
      <c r="B88" s="131" t="s">
        <v>368</v>
      </c>
      <c r="C88" s="267">
        <v>1899</v>
      </c>
      <c r="D88" s="281">
        <v>3203</v>
      </c>
      <c r="E88" s="281">
        <v>1650</v>
      </c>
      <c r="F88" s="281"/>
      <c r="G88" s="281"/>
      <c r="H88" s="281"/>
      <c r="I88" s="281">
        <f t="shared" si="20"/>
        <v>1650</v>
      </c>
      <c r="J88" s="281">
        <f t="shared" si="21"/>
        <v>1553</v>
      </c>
      <c r="K88" s="6" t="s">
        <v>1395</v>
      </c>
      <c r="L88" s="367"/>
    </row>
    <row r="89" spans="1:12" ht="16.2" thickBot="1" x14ac:dyDescent="0.35">
      <c r="A89" s="292">
        <v>11</v>
      </c>
      <c r="B89" s="112" t="s">
        <v>370</v>
      </c>
      <c r="C89" s="292">
        <v>1914</v>
      </c>
      <c r="D89" s="281">
        <v>3203</v>
      </c>
      <c r="E89" s="281">
        <v>2669</v>
      </c>
      <c r="F89" s="281"/>
      <c r="G89" s="281"/>
      <c r="H89" s="281"/>
      <c r="I89" s="281">
        <f t="shared" si="20"/>
        <v>2669</v>
      </c>
      <c r="J89" s="281">
        <f t="shared" si="21"/>
        <v>534</v>
      </c>
      <c r="K89" s="281" t="s">
        <v>1395</v>
      </c>
      <c r="L89" s="367"/>
    </row>
    <row r="90" spans="1:12" ht="16.2" thickBot="1" x14ac:dyDescent="0.35">
      <c r="A90" s="292">
        <v>12</v>
      </c>
      <c r="B90" s="131" t="s">
        <v>365</v>
      </c>
      <c r="C90" s="267">
        <v>1916</v>
      </c>
      <c r="D90" s="281">
        <v>3203</v>
      </c>
      <c r="E90" s="281">
        <v>3203</v>
      </c>
      <c r="F90" s="281"/>
      <c r="G90" s="281"/>
      <c r="H90" s="281"/>
      <c r="I90" s="281">
        <f t="shared" si="20"/>
        <v>3203</v>
      </c>
      <c r="J90" s="281">
        <f t="shared" si="21"/>
        <v>0</v>
      </c>
      <c r="K90" s="351" t="s">
        <v>1395</v>
      </c>
      <c r="L90" s="367"/>
    </row>
    <row r="91" spans="1:12" ht="16.2" thickBot="1" x14ac:dyDescent="0.35">
      <c r="A91" s="292">
        <v>13</v>
      </c>
      <c r="B91" s="368" t="s">
        <v>530</v>
      </c>
      <c r="C91" s="56">
        <v>1011</v>
      </c>
      <c r="D91" s="281">
        <v>3203</v>
      </c>
      <c r="E91" s="93">
        <v>1000</v>
      </c>
      <c r="I91" s="281">
        <f t="shared" si="20"/>
        <v>1000</v>
      </c>
      <c r="J91" s="281">
        <f t="shared" si="21"/>
        <v>2203</v>
      </c>
      <c r="K91" s="7" t="s">
        <v>1631</v>
      </c>
      <c r="L91" s="367"/>
    </row>
    <row r="92" spans="1:12" ht="16.2" thickBot="1" x14ac:dyDescent="0.35">
      <c r="A92" s="292">
        <v>14</v>
      </c>
      <c r="B92" s="112" t="s">
        <v>953</v>
      </c>
      <c r="C92" s="267">
        <v>1937</v>
      </c>
      <c r="D92" s="281">
        <v>3203</v>
      </c>
      <c r="E92" s="281">
        <v>1700</v>
      </c>
      <c r="F92" s="281"/>
      <c r="G92" s="281"/>
      <c r="H92" s="281"/>
      <c r="I92" s="281">
        <f t="shared" si="20"/>
        <v>1700</v>
      </c>
      <c r="J92" s="281">
        <f t="shared" si="21"/>
        <v>1503</v>
      </c>
      <c r="K92" s="281" t="s">
        <v>1395</v>
      </c>
      <c r="L92" s="367"/>
    </row>
    <row r="93" spans="1:12" ht="16.2" thickBot="1" x14ac:dyDescent="0.35">
      <c r="A93" s="292">
        <v>15</v>
      </c>
      <c r="B93" s="112" t="s">
        <v>955</v>
      </c>
      <c r="C93" s="267">
        <v>1939</v>
      </c>
      <c r="D93" s="281">
        <v>3203</v>
      </c>
      <c r="E93" s="281">
        <v>2000</v>
      </c>
      <c r="F93" s="281"/>
      <c r="G93" s="281"/>
      <c r="H93" s="281"/>
      <c r="I93" s="281">
        <f t="shared" si="20"/>
        <v>2000</v>
      </c>
      <c r="J93" s="281">
        <f t="shared" si="21"/>
        <v>1203</v>
      </c>
      <c r="K93" s="281"/>
      <c r="L93" s="367"/>
    </row>
    <row r="94" spans="1:12" ht="16.2" thickBot="1" x14ac:dyDescent="0.35">
      <c r="A94" s="292">
        <v>16</v>
      </c>
      <c r="B94" s="112" t="s">
        <v>1162</v>
      </c>
      <c r="C94" s="267">
        <v>1912</v>
      </c>
      <c r="D94" s="281">
        <v>3203</v>
      </c>
      <c r="E94" s="281"/>
      <c r="F94" s="281"/>
      <c r="G94" s="281"/>
      <c r="H94" s="281"/>
      <c r="I94" s="281">
        <f t="shared" si="20"/>
        <v>0</v>
      </c>
      <c r="J94" s="281">
        <f t="shared" si="21"/>
        <v>3203</v>
      </c>
      <c r="K94" s="281"/>
      <c r="L94" s="367"/>
    </row>
    <row r="95" spans="1:12" ht="18.600000000000001" thickBot="1" x14ac:dyDescent="0.4">
      <c r="A95" s="316">
        <v>18</v>
      </c>
      <c r="B95" s="369" t="s">
        <v>1164</v>
      </c>
      <c r="C95" s="370">
        <v>1925</v>
      </c>
      <c r="D95" s="281">
        <v>3203</v>
      </c>
      <c r="E95" s="284"/>
      <c r="F95" s="284"/>
      <c r="G95" s="284"/>
      <c r="H95" s="284"/>
      <c r="I95" s="284">
        <f t="shared" si="20"/>
        <v>0</v>
      </c>
      <c r="J95" s="284">
        <f t="shared" si="21"/>
        <v>3203</v>
      </c>
      <c r="K95" s="284"/>
    </row>
    <row r="96" spans="1:12" ht="15.6" x14ac:dyDescent="0.3">
      <c r="A96" s="148"/>
      <c r="B96" s="148"/>
      <c r="C96" s="148"/>
      <c r="D96" s="494">
        <f>SUM(D79:D95)</f>
        <v>54451</v>
      </c>
      <c r="E96" s="494">
        <f t="shared" ref="E96:J96" si="22">SUM(E79:E95)</f>
        <v>17325</v>
      </c>
      <c r="F96" s="494">
        <f t="shared" si="22"/>
        <v>2587</v>
      </c>
      <c r="G96" s="494">
        <f t="shared" si="22"/>
        <v>1319</v>
      </c>
      <c r="H96" s="494">
        <f t="shared" si="22"/>
        <v>0</v>
      </c>
      <c r="I96" s="494">
        <f t="shared" si="22"/>
        <v>21231</v>
      </c>
      <c r="J96" s="494">
        <f t="shared" si="22"/>
        <v>33220</v>
      </c>
      <c r="K96" s="147"/>
    </row>
    <row r="97" spans="1:12" ht="15.6" x14ac:dyDescent="0.3">
      <c r="A97" s="143"/>
      <c r="B97" s="143"/>
      <c r="C97" s="143"/>
      <c r="D97" s="142"/>
      <c r="E97" s="142"/>
      <c r="F97" s="142"/>
      <c r="G97" s="142"/>
      <c r="H97" s="142"/>
      <c r="I97" s="142"/>
      <c r="J97" s="142"/>
      <c r="K97" s="142"/>
    </row>
    <row r="98" spans="1:12" ht="15.6" x14ac:dyDescent="0.3">
      <c r="A98" s="280"/>
      <c r="B98" s="280"/>
      <c r="C98" s="280"/>
      <c r="D98" s="279"/>
      <c r="E98" s="279"/>
      <c r="F98" s="279"/>
      <c r="G98" s="279"/>
      <c r="H98" s="279"/>
      <c r="I98" s="279"/>
      <c r="J98" s="279"/>
      <c r="K98" s="279"/>
    </row>
    <row r="99" spans="1:12" ht="16.2" thickBot="1" x14ac:dyDescent="0.35">
      <c r="A99" s="362" t="s">
        <v>1222</v>
      </c>
      <c r="B99" s="309"/>
      <c r="C99" s="363"/>
      <c r="D99" s="363"/>
      <c r="E99" s="363"/>
      <c r="F99" s="363"/>
      <c r="G99" s="363"/>
      <c r="H99" s="363"/>
      <c r="I99" s="363"/>
      <c r="J99" s="363"/>
      <c r="K99" s="363"/>
      <c r="L99" s="366"/>
    </row>
    <row r="100" spans="1:12" ht="27.6" thickBot="1" x14ac:dyDescent="0.35">
      <c r="A100" s="354" t="s">
        <v>0</v>
      </c>
      <c r="B100" s="295" t="s">
        <v>1</v>
      </c>
      <c r="C100" s="354" t="s">
        <v>2</v>
      </c>
      <c r="D100" s="355" t="s">
        <v>854</v>
      </c>
      <c r="E100" s="573" t="s">
        <v>855</v>
      </c>
      <c r="F100" s="574"/>
      <c r="G100" s="574"/>
      <c r="H100" s="575"/>
      <c r="I100" s="356"/>
      <c r="J100" s="357" t="s">
        <v>856</v>
      </c>
      <c r="K100" s="295" t="s">
        <v>3</v>
      </c>
      <c r="L100" s="367"/>
    </row>
    <row r="101" spans="1:12" ht="16.2" thickBot="1" x14ac:dyDescent="0.35">
      <c r="A101" s="315">
        <v>1</v>
      </c>
      <c r="B101" s="131" t="s">
        <v>201</v>
      </c>
      <c r="C101" s="315">
        <v>1908</v>
      </c>
      <c r="D101" s="281">
        <v>2744</v>
      </c>
      <c r="E101" s="281">
        <v>1650</v>
      </c>
      <c r="F101" s="281">
        <v>1144</v>
      </c>
      <c r="G101" s="281"/>
      <c r="H101" s="281"/>
      <c r="I101" s="281">
        <f>SUM(E101:H101)</f>
        <v>2794</v>
      </c>
      <c r="J101" s="281">
        <f>D101-E101-F101-G101-H101</f>
        <v>-50</v>
      </c>
      <c r="K101" s="281" t="s">
        <v>1395</v>
      </c>
      <c r="L101" s="367"/>
    </row>
    <row r="102" spans="1:12" ht="16.2" thickBot="1" x14ac:dyDescent="0.35">
      <c r="A102" s="315">
        <v>2</v>
      </c>
      <c r="B102" s="131" t="s">
        <v>105</v>
      </c>
      <c r="C102" s="315">
        <v>1918</v>
      </c>
      <c r="D102" s="281">
        <v>2744</v>
      </c>
      <c r="E102" s="281">
        <v>500</v>
      </c>
      <c r="F102" s="281">
        <v>2000</v>
      </c>
      <c r="G102" s="281">
        <v>287</v>
      </c>
      <c r="H102" s="281"/>
      <c r="I102" s="281">
        <f t="shared" ref="I102:I108" si="23">SUM(E102:H102)</f>
        <v>2787</v>
      </c>
      <c r="J102" s="281">
        <f t="shared" ref="J102:J108" si="24">D102-E102-F102-G102-H102</f>
        <v>-43</v>
      </c>
      <c r="K102" s="281" t="s">
        <v>1395</v>
      </c>
      <c r="L102" s="367"/>
    </row>
    <row r="103" spans="1:12" ht="16.2" thickBot="1" x14ac:dyDescent="0.35">
      <c r="A103" s="315">
        <v>3</v>
      </c>
      <c r="B103" s="131" t="s">
        <v>103</v>
      </c>
      <c r="C103" s="315">
        <v>1919</v>
      </c>
      <c r="D103" s="281">
        <v>2744</v>
      </c>
      <c r="E103" s="281">
        <v>2000</v>
      </c>
      <c r="F103" s="281">
        <v>744</v>
      </c>
      <c r="G103" s="281"/>
      <c r="H103" s="281"/>
      <c r="I103" s="281">
        <f t="shared" si="23"/>
        <v>2744</v>
      </c>
      <c r="J103" s="281">
        <f t="shared" si="24"/>
        <v>0</v>
      </c>
      <c r="K103" s="281" t="s">
        <v>1395</v>
      </c>
      <c r="L103" s="367"/>
    </row>
    <row r="104" spans="1:12" ht="16.2" thickBot="1" x14ac:dyDescent="0.35">
      <c r="A104" s="315">
        <v>4</v>
      </c>
      <c r="B104" s="131" t="s">
        <v>294</v>
      </c>
      <c r="C104" s="315">
        <v>1627</v>
      </c>
      <c r="D104" s="281">
        <v>2744</v>
      </c>
      <c r="E104" s="281">
        <v>1000</v>
      </c>
      <c r="F104" s="281">
        <v>680</v>
      </c>
      <c r="G104" s="281">
        <v>1065</v>
      </c>
      <c r="H104" s="281"/>
      <c r="I104" s="281">
        <f t="shared" si="23"/>
        <v>2745</v>
      </c>
      <c r="J104" s="281">
        <f t="shared" si="24"/>
        <v>-1</v>
      </c>
      <c r="K104" s="281" t="s">
        <v>1723</v>
      </c>
      <c r="L104" s="367"/>
    </row>
    <row r="105" spans="1:12" ht="16.2" thickBot="1" x14ac:dyDescent="0.35">
      <c r="A105" s="315">
        <v>5</v>
      </c>
      <c r="B105" s="131" t="s">
        <v>104</v>
      </c>
      <c r="C105" s="315">
        <v>1628</v>
      </c>
      <c r="D105" s="281">
        <v>2744</v>
      </c>
      <c r="E105" s="281">
        <v>2000</v>
      </c>
      <c r="F105" s="281">
        <v>744</v>
      </c>
      <c r="G105" s="281"/>
      <c r="H105" s="281"/>
      <c r="I105" s="281">
        <f t="shared" si="23"/>
        <v>2744</v>
      </c>
      <c r="J105" s="281">
        <f t="shared" si="24"/>
        <v>0</v>
      </c>
      <c r="K105" s="281" t="s">
        <v>1395</v>
      </c>
      <c r="L105" s="367"/>
    </row>
    <row r="106" spans="1:12" ht="16.2" thickBot="1" x14ac:dyDescent="0.35">
      <c r="A106" s="315">
        <v>6</v>
      </c>
      <c r="B106" s="131" t="s">
        <v>200</v>
      </c>
      <c r="C106" s="315">
        <v>1630</v>
      </c>
      <c r="D106" s="281">
        <v>2744</v>
      </c>
      <c r="E106" s="281">
        <v>1650</v>
      </c>
      <c r="F106" s="281"/>
      <c r="G106" s="281"/>
      <c r="H106" s="281"/>
      <c r="I106" s="281">
        <f t="shared" si="23"/>
        <v>1650</v>
      </c>
      <c r="J106" s="281">
        <f t="shared" si="24"/>
        <v>1094</v>
      </c>
      <c r="K106" s="281" t="s">
        <v>1395</v>
      </c>
      <c r="L106" s="367"/>
    </row>
    <row r="107" spans="1:12" ht="16.2" thickBot="1" x14ac:dyDescent="0.35">
      <c r="A107" s="315">
        <v>7</v>
      </c>
      <c r="B107" s="131" t="s">
        <v>299</v>
      </c>
      <c r="C107" s="315">
        <v>1631</v>
      </c>
      <c r="D107" s="281">
        <v>2744</v>
      </c>
      <c r="E107" s="281">
        <v>1500</v>
      </c>
      <c r="F107" s="281"/>
      <c r="G107" s="281"/>
      <c r="H107" s="281"/>
      <c r="I107" s="281">
        <f t="shared" si="23"/>
        <v>1500</v>
      </c>
      <c r="J107" s="281">
        <f t="shared" si="24"/>
        <v>1244</v>
      </c>
      <c r="K107" s="281"/>
      <c r="L107" s="367"/>
    </row>
    <row r="108" spans="1:12" ht="16.2" thickBot="1" x14ac:dyDescent="0.35">
      <c r="A108" s="315">
        <v>8</v>
      </c>
      <c r="B108" s="282" t="s">
        <v>941</v>
      </c>
      <c r="C108" s="283"/>
      <c r="D108" s="281">
        <v>2744</v>
      </c>
      <c r="E108" s="284"/>
      <c r="F108" s="284"/>
      <c r="G108" s="284"/>
      <c r="H108" s="284"/>
      <c r="I108" s="284">
        <f t="shared" si="23"/>
        <v>0</v>
      </c>
      <c r="J108" s="284">
        <f t="shared" si="24"/>
        <v>2744</v>
      </c>
      <c r="K108" s="284"/>
      <c r="L108" s="367" t="s">
        <v>1742</v>
      </c>
    </row>
    <row r="109" spans="1:12" ht="15.6" x14ac:dyDescent="0.3">
      <c r="A109" s="145"/>
      <c r="B109" s="311"/>
      <c r="C109" s="145"/>
      <c r="D109" s="494">
        <f>SUM(D101:D108)</f>
        <v>21952</v>
      </c>
      <c r="E109" s="494">
        <f t="shared" ref="E109:J109" si="25">SUM(E101:E108)</f>
        <v>10300</v>
      </c>
      <c r="F109" s="494">
        <f t="shared" si="25"/>
        <v>5312</v>
      </c>
      <c r="G109" s="494">
        <f t="shared" si="25"/>
        <v>1352</v>
      </c>
      <c r="H109" s="494">
        <f t="shared" si="25"/>
        <v>0</v>
      </c>
      <c r="I109" s="494">
        <f t="shared" si="25"/>
        <v>16964</v>
      </c>
      <c r="J109" s="494">
        <f t="shared" si="25"/>
        <v>4988</v>
      </c>
      <c r="K109" s="147"/>
      <c r="L109" s="367"/>
    </row>
    <row r="110" spans="1:12" ht="15.6" x14ac:dyDescent="0.3">
      <c r="A110" s="141"/>
      <c r="B110" s="300"/>
      <c r="C110" s="141"/>
      <c r="D110" s="142"/>
      <c r="E110" s="142"/>
      <c r="F110" s="142"/>
      <c r="G110" s="142"/>
      <c r="H110" s="142"/>
      <c r="I110" s="142"/>
      <c r="J110" s="142"/>
      <c r="K110" s="142"/>
      <c r="L110" s="367"/>
    </row>
    <row r="111" spans="1:12" ht="15.6" x14ac:dyDescent="0.3">
      <c r="A111" s="361"/>
      <c r="B111" s="303"/>
      <c r="C111" s="371"/>
      <c r="D111" s="279"/>
      <c r="E111" s="279"/>
      <c r="F111" s="279"/>
      <c r="G111" s="279"/>
      <c r="H111" s="279"/>
      <c r="I111" s="279"/>
      <c r="J111" s="279"/>
      <c r="K111" s="279"/>
      <c r="L111" s="367"/>
    </row>
    <row r="112" spans="1:12" ht="16.2" thickBot="1" x14ac:dyDescent="0.35">
      <c r="A112" s="372" t="s">
        <v>1469</v>
      </c>
      <c r="B112" s="309"/>
      <c r="C112" s="363"/>
      <c r="D112" s="363"/>
      <c r="E112" s="363"/>
      <c r="F112" s="363"/>
      <c r="G112" s="363"/>
      <c r="H112" s="363"/>
      <c r="I112" s="363"/>
      <c r="J112" s="363"/>
      <c r="K112" s="363"/>
      <c r="L112" s="367"/>
    </row>
    <row r="113" spans="1:12" ht="27.6" thickBot="1" x14ac:dyDescent="0.35">
      <c r="A113" s="354" t="s">
        <v>0</v>
      </c>
      <c r="B113" s="295" t="s">
        <v>1</v>
      </c>
      <c r="C113" s="354" t="s">
        <v>2</v>
      </c>
      <c r="D113" s="355" t="s">
        <v>854</v>
      </c>
      <c r="E113" s="573" t="s">
        <v>855</v>
      </c>
      <c r="F113" s="574"/>
      <c r="G113" s="574"/>
      <c r="H113" s="575"/>
      <c r="I113" s="356"/>
      <c r="J113" s="357" t="s">
        <v>856</v>
      </c>
      <c r="K113" s="295" t="s">
        <v>3</v>
      </c>
      <c r="L113" s="367"/>
    </row>
    <row r="114" spans="1:12" ht="16.2" thickBot="1" x14ac:dyDescent="0.35">
      <c r="A114" s="315">
        <v>1</v>
      </c>
      <c r="B114" s="131" t="s">
        <v>1436</v>
      </c>
      <c r="C114" s="315"/>
      <c r="D114" s="281">
        <v>6672</v>
      </c>
      <c r="E114" s="281">
        <v>2040</v>
      </c>
      <c r="F114" s="281">
        <v>3000</v>
      </c>
      <c r="G114" s="281"/>
      <c r="H114" s="281"/>
      <c r="I114" s="281">
        <f>SUM(E114:H114)</f>
        <v>5040</v>
      </c>
      <c r="J114" s="281">
        <f>D114-E114-F114-G114-H114</f>
        <v>1632</v>
      </c>
      <c r="K114" s="281" t="s">
        <v>1395</v>
      </c>
      <c r="L114" s="367"/>
    </row>
    <row r="115" spans="1:12" ht="16.2" thickBot="1" x14ac:dyDescent="0.35">
      <c r="A115" s="315">
        <v>2</v>
      </c>
      <c r="B115" s="131"/>
      <c r="C115" s="315"/>
      <c r="D115" s="281"/>
      <c r="E115" s="281"/>
      <c r="F115" s="281"/>
      <c r="G115" s="281"/>
      <c r="H115" s="281"/>
      <c r="I115" s="281">
        <f t="shared" ref="I115:I119" si="26">SUM(E115:H115)</f>
        <v>0</v>
      </c>
      <c r="J115" s="281">
        <f t="shared" ref="J115:J119" si="27">D115-E115-F115-G115-H115</f>
        <v>0</v>
      </c>
      <c r="K115" s="281"/>
      <c r="L115" s="367"/>
    </row>
    <row r="116" spans="1:12" ht="16.2" thickBot="1" x14ac:dyDescent="0.35">
      <c r="A116" s="315">
        <v>3</v>
      </c>
      <c r="B116" s="131"/>
      <c r="C116" s="315"/>
      <c r="D116" s="281"/>
      <c r="E116" s="281"/>
      <c r="F116" s="281"/>
      <c r="G116" s="281"/>
      <c r="H116" s="281"/>
      <c r="I116" s="281">
        <f t="shared" si="26"/>
        <v>0</v>
      </c>
      <c r="J116" s="281">
        <f t="shared" si="27"/>
        <v>0</v>
      </c>
      <c r="K116" s="281"/>
      <c r="L116" s="367"/>
    </row>
    <row r="117" spans="1:12" ht="16.2" thickBot="1" x14ac:dyDescent="0.35">
      <c r="A117" s="315">
        <v>4</v>
      </c>
      <c r="B117" s="131"/>
      <c r="C117" s="315"/>
      <c r="D117" s="281"/>
      <c r="E117" s="281"/>
      <c r="F117" s="281"/>
      <c r="G117" s="281"/>
      <c r="H117" s="281"/>
      <c r="I117" s="281">
        <f t="shared" si="26"/>
        <v>0</v>
      </c>
      <c r="J117" s="281">
        <f t="shared" si="27"/>
        <v>0</v>
      </c>
      <c r="K117" s="281"/>
      <c r="L117" s="367"/>
    </row>
    <row r="118" spans="1:12" ht="16.2" thickBot="1" x14ac:dyDescent="0.35">
      <c r="A118" s="315">
        <v>5</v>
      </c>
      <c r="B118" s="131"/>
      <c r="C118" s="315"/>
      <c r="D118" s="281"/>
      <c r="E118" s="281"/>
      <c r="F118" s="281"/>
      <c r="G118" s="281"/>
      <c r="H118" s="281"/>
      <c r="I118" s="281">
        <f t="shared" si="26"/>
        <v>0</v>
      </c>
      <c r="J118" s="281">
        <f t="shared" si="27"/>
        <v>0</v>
      </c>
      <c r="K118" s="281"/>
      <c r="L118" s="367"/>
    </row>
    <row r="119" spans="1:12" ht="16.2" thickBot="1" x14ac:dyDescent="0.35">
      <c r="A119" s="283">
        <v>6</v>
      </c>
      <c r="B119" s="282"/>
      <c r="C119" s="283"/>
      <c r="D119" s="281"/>
      <c r="E119" s="284"/>
      <c r="F119" s="284"/>
      <c r="G119" s="284"/>
      <c r="H119" s="284"/>
      <c r="I119" s="284">
        <f t="shared" si="26"/>
        <v>0</v>
      </c>
      <c r="J119" s="284">
        <f t="shared" si="27"/>
        <v>0</v>
      </c>
      <c r="K119" s="284"/>
      <c r="L119" s="367"/>
    </row>
    <row r="120" spans="1:12" ht="15.6" x14ac:dyDescent="0.3">
      <c r="A120" s="373"/>
      <c r="B120" s="187"/>
      <c r="C120" s="373"/>
      <c r="D120" s="147"/>
      <c r="E120" s="147"/>
      <c r="F120" s="147"/>
      <c r="G120" s="147"/>
      <c r="H120" s="147"/>
      <c r="I120" s="147"/>
      <c r="J120" s="147"/>
      <c r="K120" s="147"/>
      <c r="L120" s="367"/>
    </row>
    <row r="121" spans="1:12" ht="15.6" x14ac:dyDescent="0.3">
      <c r="A121" s="277"/>
      <c r="B121" s="188"/>
      <c r="C121" s="277"/>
      <c r="D121" s="142"/>
      <c r="E121" s="142"/>
      <c r="F121" s="142"/>
      <c r="G121" s="142"/>
      <c r="H121" s="142"/>
      <c r="I121" s="142"/>
      <c r="J121" s="142"/>
      <c r="K121" s="142"/>
      <c r="L121" s="367"/>
    </row>
    <row r="122" spans="1:12" ht="15.6" x14ac:dyDescent="0.3">
      <c r="A122" s="361"/>
      <c r="B122" s="303"/>
      <c r="C122" s="361"/>
      <c r="D122" s="279"/>
      <c r="E122" s="279"/>
      <c r="F122" s="279"/>
      <c r="G122" s="279"/>
      <c r="H122" s="279"/>
      <c r="I122" s="279"/>
      <c r="J122" s="279"/>
      <c r="K122" s="279"/>
      <c r="L122" s="367"/>
    </row>
    <row r="123" spans="1:12" ht="16.2" thickBot="1" x14ac:dyDescent="0.35">
      <c r="A123" s="362" t="s">
        <v>1223</v>
      </c>
      <c r="B123" s="309"/>
      <c r="C123" s="363"/>
      <c r="D123" s="363"/>
      <c r="E123" s="363"/>
      <c r="F123" s="363"/>
      <c r="G123" s="363"/>
      <c r="H123" s="363"/>
      <c r="I123" s="363"/>
      <c r="J123" s="363"/>
      <c r="K123" s="363"/>
      <c r="L123" s="367"/>
    </row>
    <row r="124" spans="1:12" ht="27.6" thickBot="1" x14ac:dyDescent="0.35">
      <c r="A124" s="354" t="s">
        <v>0</v>
      </c>
      <c r="B124" s="295" t="s">
        <v>1</v>
      </c>
      <c r="C124" s="354" t="s">
        <v>2</v>
      </c>
      <c r="D124" s="355" t="s">
        <v>854</v>
      </c>
      <c r="E124" s="573" t="s">
        <v>855</v>
      </c>
      <c r="F124" s="574"/>
      <c r="G124" s="574"/>
      <c r="H124" s="575"/>
      <c r="I124" s="356"/>
      <c r="J124" s="357" t="s">
        <v>856</v>
      </c>
      <c r="K124" s="295" t="s">
        <v>3</v>
      </c>
      <c r="L124" s="367"/>
    </row>
    <row r="125" spans="1:12" ht="16.2" thickBot="1" x14ac:dyDescent="0.35">
      <c r="A125" s="283">
        <v>1</v>
      </c>
      <c r="B125" s="282" t="s">
        <v>1165</v>
      </c>
      <c r="C125" s="283"/>
      <c r="D125" s="281">
        <v>3538</v>
      </c>
      <c r="E125" s="284"/>
      <c r="F125" s="284"/>
      <c r="G125" s="284"/>
      <c r="H125" s="284"/>
      <c r="I125" s="284"/>
      <c r="J125" s="284">
        <f>D125-E125-F125-G125-H125</f>
        <v>3538</v>
      </c>
      <c r="K125" s="284"/>
      <c r="L125" s="367"/>
    </row>
    <row r="126" spans="1:12" ht="15.6" x14ac:dyDescent="0.3">
      <c r="A126" s="373"/>
      <c r="B126" s="187"/>
      <c r="C126" s="373"/>
      <c r="D126" s="147"/>
      <c r="E126" s="147"/>
      <c r="F126" s="147"/>
      <c r="G126" s="147"/>
      <c r="H126" s="147"/>
      <c r="I126" s="147"/>
      <c r="J126" s="147"/>
      <c r="K126" s="147"/>
      <c r="L126" s="367"/>
    </row>
    <row r="127" spans="1:12" ht="15.6" x14ac:dyDescent="0.3">
      <c r="A127" s="277"/>
      <c r="B127" s="188"/>
      <c r="C127" s="277"/>
      <c r="D127" s="142"/>
      <c r="E127" s="142"/>
      <c r="F127" s="142"/>
      <c r="G127" s="142"/>
      <c r="H127" s="142"/>
      <c r="I127" s="142"/>
      <c r="J127" s="142"/>
      <c r="K127" s="142"/>
      <c r="L127" s="367"/>
    </row>
    <row r="128" spans="1:12" ht="15.6" x14ac:dyDescent="0.3">
      <c r="A128" s="280"/>
      <c r="B128" s="280"/>
      <c r="C128" s="280"/>
      <c r="D128" s="279"/>
      <c r="E128" s="279"/>
      <c r="F128" s="279"/>
      <c r="G128" s="279"/>
      <c r="H128" s="279"/>
      <c r="I128" s="279"/>
      <c r="J128" s="279"/>
      <c r="K128" s="279"/>
    </row>
    <row r="129" spans="1:13" s="375" customFormat="1" ht="15" thickBot="1" x14ac:dyDescent="0.35">
      <c r="A129" s="372" t="s">
        <v>1224</v>
      </c>
      <c r="B129" s="298"/>
      <c r="C129" s="374"/>
      <c r="D129" s="374"/>
      <c r="E129" s="374"/>
      <c r="F129" s="374"/>
      <c r="G129" s="374"/>
      <c r="H129" s="374"/>
      <c r="I129" s="374"/>
      <c r="J129" s="374"/>
      <c r="K129" s="374"/>
    </row>
    <row r="130" spans="1:13" ht="27.6" thickBot="1" x14ac:dyDescent="0.35">
      <c r="A130" s="354" t="s">
        <v>0</v>
      </c>
      <c r="B130" s="295" t="s">
        <v>1</v>
      </c>
      <c r="C130" s="354" t="s">
        <v>2</v>
      </c>
      <c r="D130" s="355" t="s">
        <v>854</v>
      </c>
      <c r="E130" s="573" t="s">
        <v>855</v>
      </c>
      <c r="F130" s="574"/>
      <c r="G130" s="574"/>
      <c r="H130" s="575"/>
      <c r="I130" s="356"/>
      <c r="J130" s="357" t="s">
        <v>856</v>
      </c>
      <c r="K130" s="295" t="s">
        <v>3</v>
      </c>
      <c r="L130" s="366"/>
    </row>
    <row r="131" spans="1:13" ht="16.2" thickBot="1" x14ac:dyDescent="0.35">
      <c r="A131" s="315">
        <v>1</v>
      </c>
      <c r="B131" s="131" t="s">
        <v>35</v>
      </c>
      <c r="C131" s="315">
        <v>1920</v>
      </c>
      <c r="D131" s="281">
        <v>3203</v>
      </c>
      <c r="E131" s="281">
        <v>1500</v>
      </c>
      <c r="F131" s="281"/>
      <c r="G131" s="281"/>
      <c r="H131" s="281"/>
      <c r="I131" s="281">
        <f>SUM(E131:H131)</f>
        <v>1500</v>
      </c>
      <c r="J131" s="281">
        <f>D131-E131-F131-G131-H131</f>
        <v>1703</v>
      </c>
      <c r="K131" s="281" t="s">
        <v>1395</v>
      </c>
      <c r="L131" s="367"/>
    </row>
    <row r="132" spans="1:13" ht="16.2" thickBot="1" x14ac:dyDescent="0.35">
      <c r="A132" s="315">
        <v>2</v>
      </c>
      <c r="B132" s="131" t="s">
        <v>202</v>
      </c>
      <c r="C132" s="315">
        <v>1921</v>
      </c>
      <c r="D132" s="281">
        <v>3203</v>
      </c>
      <c r="E132" s="284">
        <v>2620</v>
      </c>
      <c r="F132" s="284"/>
      <c r="G132" s="284"/>
      <c r="H132" s="284"/>
      <c r="I132" s="281">
        <f t="shared" ref="I132:I134" si="28">SUM(E132:H132)</f>
        <v>2620</v>
      </c>
      <c r="J132" s="281">
        <f t="shared" ref="J132:J134" si="29">D132-E132-F132-G132-H132</f>
        <v>583</v>
      </c>
      <c r="K132" s="351" t="s">
        <v>1395</v>
      </c>
      <c r="L132" s="367"/>
    </row>
    <row r="133" spans="1:13" ht="16.2" thickBot="1" x14ac:dyDescent="0.35">
      <c r="A133" s="315">
        <v>3</v>
      </c>
      <c r="B133" s="131" t="s">
        <v>203</v>
      </c>
      <c r="C133" s="376">
        <v>1926</v>
      </c>
      <c r="D133" s="281">
        <v>3203</v>
      </c>
      <c r="E133" s="377">
        <v>3203</v>
      </c>
      <c r="F133" s="377"/>
      <c r="G133" s="377"/>
      <c r="H133" s="377"/>
      <c r="I133" s="281">
        <f t="shared" si="28"/>
        <v>3203</v>
      </c>
      <c r="J133" s="281">
        <f t="shared" si="29"/>
        <v>0</v>
      </c>
      <c r="K133" s="377" t="s">
        <v>1395</v>
      </c>
      <c r="L133" s="367"/>
    </row>
    <row r="134" spans="1:13" ht="16.2" thickBot="1" x14ac:dyDescent="0.35">
      <c r="A134" s="283">
        <v>4</v>
      </c>
      <c r="B134" s="282" t="s">
        <v>34</v>
      </c>
      <c r="C134" s="378">
        <v>1922</v>
      </c>
      <c r="D134" s="281">
        <v>3203</v>
      </c>
      <c r="E134" s="379">
        <v>1800</v>
      </c>
      <c r="F134" s="379"/>
      <c r="G134" s="379"/>
      <c r="H134" s="379"/>
      <c r="I134" s="284">
        <f t="shared" si="28"/>
        <v>1800</v>
      </c>
      <c r="J134" s="284">
        <f t="shared" si="29"/>
        <v>1403</v>
      </c>
      <c r="K134" s="379"/>
    </row>
    <row r="135" spans="1:13" ht="15.6" x14ac:dyDescent="0.3">
      <c r="A135" s="145"/>
      <c r="B135" s="146"/>
      <c r="C135" s="145"/>
      <c r="D135" s="494">
        <f>SUM(D131:D134)</f>
        <v>12812</v>
      </c>
      <c r="E135" s="494">
        <f t="shared" ref="E135:J135" si="30">SUM(E131:E134)</f>
        <v>9123</v>
      </c>
      <c r="F135" s="494">
        <f t="shared" si="30"/>
        <v>0</v>
      </c>
      <c r="G135" s="494">
        <f t="shared" si="30"/>
        <v>0</v>
      </c>
      <c r="H135" s="494">
        <f t="shared" si="30"/>
        <v>0</v>
      </c>
      <c r="I135" s="494">
        <f t="shared" si="30"/>
        <v>9123</v>
      </c>
      <c r="J135" s="494">
        <f t="shared" si="30"/>
        <v>3689</v>
      </c>
      <c r="K135" s="147"/>
      <c r="L135" s="380"/>
      <c r="M135" s="380"/>
    </row>
    <row r="136" spans="1:13" ht="15.6" x14ac:dyDescent="0.3">
      <c r="A136" s="141"/>
      <c r="B136" s="300"/>
      <c r="C136" s="141"/>
      <c r="D136" s="142"/>
      <c r="E136" s="142"/>
      <c r="F136" s="142"/>
      <c r="G136" s="142"/>
      <c r="H136" s="142"/>
      <c r="I136" s="142"/>
      <c r="J136" s="142"/>
      <c r="K136" s="142"/>
      <c r="L136" s="380"/>
      <c r="M136" s="380"/>
    </row>
    <row r="137" spans="1:13" ht="15.6" x14ac:dyDescent="0.3">
      <c r="A137" s="361"/>
      <c r="B137" s="303"/>
      <c r="C137" s="361"/>
      <c r="D137" s="279"/>
      <c r="E137" s="279"/>
      <c r="F137" s="279"/>
      <c r="G137" s="279"/>
      <c r="H137" s="279"/>
      <c r="I137" s="279"/>
      <c r="J137" s="279"/>
      <c r="K137" s="279"/>
    </row>
    <row r="138" spans="1:13" ht="16.2" thickBot="1" x14ac:dyDescent="0.35">
      <c r="A138" s="362" t="s">
        <v>1166</v>
      </c>
      <c r="B138" s="298"/>
      <c r="C138" s="374"/>
      <c r="D138" s="374"/>
      <c r="E138" s="374"/>
      <c r="F138" s="374"/>
      <c r="G138" s="374"/>
      <c r="H138" s="374"/>
      <c r="I138" s="374"/>
      <c r="J138" s="374"/>
      <c r="K138" s="374"/>
    </row>
    <row r="139" spans="1:13" ht="27.6" thickBot="1" x14ac:dyDescent="0.35">
      <c r="A139" s="381" t="s">
        <v>0</v>
      </c>
      <c r="B139" s="318" t="s">
        <v>1</v>
      </c>
      <c r="C139" s="381" t="s">
        <v>2</v>
      </c>
      <c r="D139" s="382" t="s">
        <v>854</v>
      </c>
      <c r="E139" s="576" t="s">
        <v>855</v>
      </c>
      <c r="F139" s="577"/>
      <c r="G139" s="577"/>
      <c r="H139" s="578"/>
      <c r="I139" s="383"/>
      <c r="J139" s="384" t="s">
        <v>856</v>
      </c>
      <c r="K139" s="318" t="s">
        <v>3</v>
      </c>
    </row>
    <row r="140" spans="1:13" ht="16.2" thickBot="1" x14ac:dyDescent="0.35">
      <c r="A140" s="269"/>
      <c r="B140" s="270" t="s">
        <v>1387</v>
      </c>
      <c r="C140" s="269"/>
      <c r="D140" s="281">
        <v>6672</v>
      </c>
      <c r="E140" s="271">
        <v>2040</v>
      </c>
      <c r="F140" s="271">
        <v>4000</v>
      </c>
      <c r="G140" s="271"/>
      <c r="H140" s="271"/>
      <c r="I140" s="271">
        <f>E140+F140+G140+H140</f>
        <v>6040</v>
      </c>
      <c r="J140" s="271">
        <f>D140-I140</f>
        <v>632</v>
      </c>
      <c r="K140" s="271" t="s">
        <v>1395</v>
      </c>
    </row>
    <row r="141" spans="1:13" ht="16.2" thickBot="1" x14ac:dyDescent="0.35">
      <c r="A141" s="269"/>
      <c r="B141" s="270"/>
      <c r="C141" s="269"/>
      <c r="D141" s="281"/>
      <c r="E141" s="271"/>
      <c r="F141" s="271"/>
      <c r="G141" s="271"/>
      <c r="H141" s="271"/>
      <c r="I141" s="271">
        <f t="shared" ref="I141:I145" si="31">E141+F141+G141+H141</f>
        <v>0</v>
      </c>
      <c r="J141" s="271">
        <f t="shared" ref="J141:J145" si="32">D141-I141</f>
        <v>0</v>
      </c>
      <c r="K141" s="271"/>
    </row>
    <row r="142" spans="1:13" ht="16.2" thickBot="1" x14ac:dyDescent="0.35">
      <c r="A142" s="269"/>
      <c r="B142" s="270"/>
      <c r="C142" s="269"/>
      <c r="D142" s="281"/>
      <c r="E142" s="271"/>
      <c r="F142" s="271"/>
      <c r="G142" s="271"/>
      <c r="H142" s="271"/>
      <c r="I142" s="271">
        <f t="shared" si="31"/>
        <v>0</v>
      </c>
      <c r="J142" s="271">
        <f t="shared" si="32"/>
        <v>0</v>
      </c>
      <c r="K142" s="271"/>
    </row>
    <row r="143" spans="1:13" ht="16.2" thickBot="1" x14ac:dyDescent="0.35">
      <c r="A143" s="269"/>
      <c r="B143" s="270"/>
      <c r="C143" s="269"/>
      <c r="D143" s="281"/>
      <c r="E143" s="271"/>
      <c r="F143" s="271"/>
      <c r="G143" s="271"/>
      <c r="H143" s="271"/>
      <c r="I143" s="271">
        <f t="shared" si="31"/>
        <v>0</v>
      </c>
      <c r="J143" s="271">
        <f t="shared" si="32"/>
        <v>0</v>
      </c>
      <c r="K143" s="271"/>
    </row>
    <row r="144" spans="1:13" ht="16.2" thickBot="1" x14ac:dyDescent="0.35">
      <c r="A144" s="269"/>
      <c r="B144" s="270"/>
      <c r="C144" s="269"/>
      <c r="D144" s="281"/>
      <c r="E144" s="271"/>
      <c r="F144" s="271"/>
      <c r="G144" s="271"/>
      <c r="H144" s="271"/>
      <c r="I144" s="271">
        <f t="shared" si="31"/>
        <v>0</v>
      </c>
      <c r="J144" s="271">
        <f t="shared" si="32"/>
        <v>0</v>
      </c>
      <c r="K144" s="271"/>
    </row>
    <row r="145" spans="1:11" ht="16.2" thickBot="1" x14ac:dyDescent="0.35">
      <c r="A145" s="269"/>
      <c r="B145" s="270"/>
      <c r="C145" s="269"/>
      <c r="D145" s="281"/>
      <c r="E145" s="271"/>
      <c r="F145" s="271"/>
      <c r="G145" s="271"/>
      <c r="H145" s="271"/>
      <c r="I145" s="271">
        <f t="shared" si="31"/>
        <v>0</v>
      </c>
      <c r="J145" s="271">
        <f t="shared" si="32"/>
        <v>0</v>
      </c>
      <c r="K145" s="271"/>
    </row>
    <row r="146" spans="1:11" ht="15.6" x14ac:dyDescent="0.3">
      <c r="A146" s="141"/>
      <c r="B146" s="300"/>
      <c r="C146" s="141"/>
      <c r="D146" s="142"/>
      <c r="E146" s="142"/>
      <c r="F146" s="142"/>
      <c r="G146" s="142"/>
      <c r="H146" s="142"/>
      <c r="I146" s="142"/>
      <c r="J146" s="142"/>
      <c r="K146" s="142"/>
    </row>
    <row r="147" spans="1:11" ht="15.6" x14ac:dyDescent="0.3">
      <c r="A147" s="141"/>
      <c r="B147" s="300"/>
      <c r="C147" s="141"/>
      <c r="D147" s="142"/>
      <c r="E147" s="142"/>
      <c r="F147" s="142"/>
      <c r="G147" s="142"/>
      <c r="H147" s="142"/>
      <c r="I147" s="142"/>
      <c r="J147" s="142"/>
      <c r="K147" s="142"/>
    </row>
    <row r="148" spans="1:11" ht="15.6" x14ac:dyDescent="0.3">
      <c r="A148" s="141"/>
      <c r="B148" s="300"/>
      <c r="C148" s="141"/>
      <c r="D148" s="142"/>
      <c r="E148" s="142"/>
      <c r="F148" s="142"/>
      <c r="G148" s="142"/>
      <c r="H148" s="142"/>
      <c r="I148" s="142"/>
      <c r="J148" s="142"/>
      <c r="K148" s="142"/>
    </row>
    <row r="149" spans="1:11" ht="15.75" customHeight="1" thickBot="1" x14ac:dyDescent="0.35">
      <c r="A149" s="362" t="s">
        <v>1225</v>
      </c>
      <c r="B149" s="298"/>
      <c r="C149" s="374"/>
      <c r="D149" s="374"/>
      <c r="E149" s="374"/>
      <c r="F149" s="374"/>
      <c r="G149" s="374"/>
      <c r="H149" s="374"/>
      <c r="I149" s="374"/>
      <c r="J149" s="374"/>
      <c r="K149" s="374"/>
    </row>
    <row r="150" spans="1:11" ht="27.6" thickBot="1" x14ac:dyDescent="0.35">
      <c r="A150" s="354" t="s">
        <v>0</v>
      </c>
      <c r="B150" s="295" t="s">
        <v>1</v>
      </c>
      <c r="C150" s="354" t="s">
        <v>2</v>
      </c>
      <c r="D150" s="355" t="s">
        <v>854</v>
      </c>
      <c r="E150" s="573" t="s">
        <v>855</v>
      </c>
      <c r="F150" s="574"/>
      <c r="G150" s="574"/>
      <c r="H150" s="575"/>
      <c r="I150" s="356"/>
      <c r="J150" s="357" t="s">
        <v>856</v>
      </c>
      <c r="K150" s="295" t="s">
        <v>3</v>
      </c>
    </row>
    <row r="151" spans="1:11" ht="16.2" thickBot="1" x14ac:dyDescent="0.35">
      <c r="A151" s="283">
        <v>1</v>
      </c>
      <c r="B151" s="282" t="s">
        <v>1167</v>
      </c>
      <c r="C151" s="283"/>
      <c r="D151" s="281">
        <v>3538</v>
      </c>
      <c r="E151" s="284"/>
      <c r="F151" s="284"/>
      <c r="G151" s="284"/>
      <c r="H151" s="284"/>
      <c r="I151" s="284"/>
      <c r="J151" s="284"/>
      <c r="K151" s="284"/>
    </row>
    <row r="152" spans="1:11" ht="15.6" x14ac:dyDescent="0.3">
      <c r="A152" s="145"/>
      <c r="B152" s="146"/>
      <c r="C152" s="145"/>
      <c r="D152" s="147"/>
      <c r="E152" s="147"/>
      <c r="F152" s="147"/>
      <c r="G152" s="147"/>
      <c r="H152" s="147"/>
      <c r="I152" s="147"/>
      <c r="J152" s="147"/>
      <c r="K152" s="147"/>
    </row>
    <row r="153" spans="1:11" ht="15.6" x14ac:dyDescent="0.3">
      <c r="A153" s="141"/>
      <c r="B153" s="300"/>
      <c r="C153" s="141"/>
      <c r="D153" s="142"/>
      <c r="E153" s="142"/>
      <c r="F153" s="142"/>
      <c r="G153" s="142"/>
      <c r="H153" s="142"/>
      <c r="I153" s="142"/>
      <c r="J153" s="142"/>
      <c r="K153" s="142"/>
    </row>
    <row r="154" spans="1:11" ht="15.6" x14ac:dyDescent="0.3">
      <c r="A154" s="280"/>
      <c r="B154" s="280"/>
      <c r="C154" s="280"/>
      <c r="D154" s="279"/>
      <c r="E154" s="279"/>
      <c r="F154" s="279"/>
      <c r="G154" s="279"/>
      <c r="H154" s="279"/>
      <c r="I154" s="279"/>
      <c r="J154" s="279"/>
      <c r="K154" s="279"/>
    </row>
    <row r="155" spans="1:11" ht="16.2" thickBot="1" x14ac:dyDescent="0.35">
      <c r="A155" s="362" t="s">
        <v>1226</v>
      </c>
      <c r="B155" s="309"/>
      <c r="C155" s="363"/>
      <c r="D155" s="363"/>
      <c r="E155" s="363"/>
      <c r="F155" s="363"/>
      <c r="G155" s="363"/>
      <c r="H155" s="363"/>
      <c r="I155" s="363"/>
      <c r="J155" s="363"/>
      <c r="K155" s="363"/>
    </row>
    <row r="156" spans="1:11" ht="27.6" thickBot="1" x14ac:dyDescent="0.35">
      <c r="A156" s="354" t="s">
        <v>0</v>
      </c>
      <c r="B156" s="295" t="s">
        <v>1</v>
      </c>
      <c r="C156" s="354" t="s">
        <v>2</v>
      </c>
      <c r="D156" s="355" t="s">
        <v>854</v>
      </c>
      <c r="E156" s="573" t="s">
        <v>855</v>
      </c>
      <c r="F156" s="574"/>
      <c r="G156" s="574"/>
      <c r="H156" s="575"/>
      <c r="I156" s="356"/>
      <c r="J156" s="357" t="s">
        <v>856</v>
      </c>
      <c r="K156" s="295" t="s">
        <v>3</v>
      </c>
    </row>
    <row r="157" spans="1:11" ht="16.2" thickBot="1" x14ac:dyDescent="0.35">
      <c r="A157" s="292">
        <v>1</v>
      </c>
      <c r="B157" s="112" t="s">
        <v>934</v>
      </c>
      <c r="C157" s="292">
        <v>1923</v>
      </c>
      <c r="D157" s="281">
        <v>3203</v>
      </c>
      <c r="E157" s="281">
        <v>852</v>
      </c>
      <c r="F157" s="281">
        <v>400</v>
      </c>
      <c r="G157" s="281"/>
      <c r="H157" s="281"/>
      <c r="I157" s="281">
        <f t="shared" ref="I157:I159" si="33">SUM(E157:H157)</f>
        <v>1252</v>
      </c>
      <c r="J157" s="281">
        <f t="shared" ref="J157:J159" si="34">D157-E157-F157-G157-H157</f>
        <v>1951</v>
      </c>
      <c r="K157" s="281"/>
    </row>
    <row r="158" spans="1:11" ht="16.2" thickBot="1" x14ac:dyDescent="0.35">
      <c r="A158" s="292">
        <v>2</v>
      </c>
      <c r="B158" s="112" t="s">
        <v>950</v>
      </c>
      <c r="C158" s="292">
        <v>1481</v>
      </c>
      <c r="D158" s="281">
        <v>3203</v>
      </c>
      <c r="E158" s="281"/>
      <c r="F158" s="281"/>
      <c r="G158" s="281"/>
      <c r="H158" s="281"/>
      <c r="I158" s="281">
        <f t="shared" si="33"/>
        <v>0</v>
      </c>
      <c r="J158" s="281">
        <f t="shared" si="34"/>
        <v>3203</v>
      </c>
      <c r="K158" s="281"/>
    </row>
    <row r="159" spans="1:11" ht="16.2" thickBot="1" x14ac:dyDescent="0.35">
      <c r="A159" s="316">
        <v>3</v>
      </c>
      <c r="B159" s="135" t="s">
        <v>912</v>
      </c>
      <c r="C159" s="316">
        <v>1872</v>
      </c>
      <c r="D159" s="281">
        <v>3203</v>
      </c>
      <c r="E159" s="284"/>
      <c r="F159" s="284"/>
      <c r="G159" s="284"/>
      <c r="H159" s="284"/>
      <c r="I159" s="284">
        <f t="shared" si="33"/>
        <v>0</v>
      </c>
      <c r="J159" s="284">
        <f t="shared" si="34"/>
        <v>3203</v>
      </c>
      <c r="K159" s="284"/>
    </row>
    <row r="160" spans="1:11" ht="15.6" x14ac:dyDescent="0.3">
      <c r="A160" s="145"/>
      <c r="B160" s="146"/>
      <c r="C160" s="145"/>
      <c r="D160" s="494">
        <f>SUM(D157:D159)</f>
        <v>9609</v>
      </c>
      <c r="E160" s="494">
        <f t="shared" ref="E160:J160" si="35">SUM(E157:E159)</f>
        <v>852</v>
      </c>
      <c r="F160" s="494">
        <f t="shared" si="35"/>
        <v>400</v>
      </c>
      <c r="G160" s="494">
        <f t="shared" si="35"/>
        <v>0</v>
      </c>
      <c r="H160" s="494">
        <f t="shared" si="35"/>
        <v>0</v>
      </c>
      <c r="I160" s="494">
        <f t="shared" si="35"/>
        <v>1252</v>
      </c>
      <c r="J160" s="494">
        <f t="shared" si="35"/>
        <v>8357</v>
      </c>
      <c r="K160" s="147"/>
    </row>
    <row r="161" spans="1:12" ht="15.6" x14ac:dyDescent="0.3">
      <c r="A161" s="141"/>
      <c r="B161" s="300"/>
      <c r="C161" s="141"/>
      <c r="D161" s="142"/>
      <c r="E161" s="142"/>
      <c r="F161" s="142"/>
      <c r="G161" s="142"/>
      <c r="H161" s="142"/>
      <c r="I161" s="142"/>
      <c r="J161" s="142"/>
      <c r="K161" s="142"/>
    </row>
    <row r="162" spans="1:12" ht="15.6" x14ac:dyDescent="0.3">
      <c r="A162" s="361"/>
      <c r="B162" s="303"/>
      <c r="C162" s="361"/>
      <c r="D162" s="279"/>
      <c r="E162" s="279"/>
      <c r="F162" s="279"/>
      <c r="G162" s="279"/>
      <c r="H162" s="279"/>
      <c r="I162" s="279"/>
      <c r="J162" s="279"/>
      <c r="K162" s="279"/>
    </row>
    <row r="163" spans="1:12" ht="16.2" thickBot="1" x14ac:dyDescent="0.35">
      <c r="A163" s="362" t="s">
        <v>1227</v>
      </c>
      <c r="B163" s="309"/>
      <c r="C163" s="363"/>
      <c r="D163" s="363"/>
      <c r="E163" s="363"/>
      <c r="F163" s="363"/>
      <c r="G163" s="363"/>
      <c r="H163" s="363"/>
      <c r="I163" s="363"/>
      <c r="J163" s="363"/>
      <c r="K163" s="363"/>
    </row>
    <row r="164" spans="1:12" ht="27.6" thickBot="1" x14ac:dyDescent="0.35">
      <c r="A164" s="354" t="s">
        <v>0</v>
      </c>
      <c r="B164" s="295" t="s">
        <v>1</v>
      </c>
      <c r="C164" s="354" t="s">
        <v>2</v>
      </c>
      <c r="D164" s="355" t="s">
        <v>854</v>
      </c>
      <c r="E164" s="573" t="s">
        <v>855</v>
      </c>
      <c r="F164" s="574"/>
      <c r="G164" s="574"/>
      <c r="H164" s="575"/>
      <c r="I164" s="356"/>
      <c r="J164" s="357" t="s">
        <v>856</v>
      </c>
      <c r="K164" s="295" t="s">
        <v>3</v>
      </c>
      <c r="L164" s="366"/>
    </row>
    <row r="165" spans="1:12" ht="16.2" thickBot="1" x14ac:dyDescent="0.35">
      <c r="A165" s="292">
        <v>1</v>
      </c>
      <c r="B165" s="112" t="s">
        <v>1598</v>
      </c>
      <c r="C165" s="292">
        <v>1872</v>
      </c>
      <c r="D165" s="496">
        <v>2744</v>
      </c>
      <c r="E165" s="281">
        <v>1600</v>
      </c>
      <c r="F165" s="281"/>
      <c r="G165" s="281"/>
      <c r="H165" s="281"/>
      <c r="I165" s="281">
        <f>SUM(E165:H165)</f>
        <v>1600</v>
      </c>
      <c r="J165" s="281">
        <f>D165-E165-F165-G165-H165</f>
        <v>1144</v>
      </c>
      <c r="K165" s="281" t="s">
        <v>1395</v>
      </c>
      <c r="L165" s="367"/>
    </row>
    <row r="166" spans="1:12" ht="16.2" thickBot="1" x14ac:dyDescent="0.35">
      <c r="A166" s="292">
        <v>2</v>
      </c>
      <c r="B166" s="112" t="s">
        <v>343</v>
      </c>
      <c r="C166" s="292">
        <v>1796</v>
      </c>
      <c r="D166" s="496">
        <v>2744</v>
      </c>
      <c r="E166" s="281"/>
      <c r="F166" s="281"/>
      <c r="G166" s="281"/>
      <c r="H166" s="281"/>
      <c r="I166" s="281">
        <f t="shared" ref="I166:I168" si="36">SUM(E166:H166)</f>
        <v>0</v>
      </c>
      <c r="J166" s="281">
        <f t="shared" ref="J166:J168" si="37">D166-E166-F166-G166-H166</f>
        <v>2744</v>
      </c>
      <c r="K166" s="281"/>
      <c r="L166" s="367"/>
    </row>
    <row r="167" spans="1:12" ht="16.2" thickBot="1" x14ac:dyDescent="0.35">
      <c r="A167" s="292">
        <v>3</v>
      </c>
      <c r="B167" s="112" t="s">
        <v>304</v>
      </c>
      <c r="C167" s="292">
        <v>1892</v>
      </c>
      <c r="D167" s="496">
        <v>2744</v>
      </c>
      <c r="E167" s="281">
        <v>2000</v>
      </c>
      <c r="F167" s="281">
        <v>745</v>
      </c>
      <c r="G167" s="281"/>
      <c r="H167" s="281"/>
      <c r="I167" s="281">
        <f t="shared" si="36"/>
        <v>2745</v>
      </c>
      <c r="J167" s="281">
        <f t="shared" si="37"/>
        <v>-1</v>
      </c>
      <c r="K167" s="281"/>
      <c r="L167" s="367"/>
    </row>
    <row r="168" spans="1:12" ht="16.2" thickBot="1" x14ac:dyDescent="0.35">
      <c r="A168" s="385">
        <v>4</v>
      </c>
      <c r="B168" s="386" t="s">
        <v>298</v>
      </c>
      <c r="C168" s="385">
        <v>1924</v>
      </c>
      <c r="D168" s="496">
        <v>2744</v>
      </c>
      <c r="E168" s="387"/>
      <c r="F168" s="387"/>
      <c r="G168" s="387"/>
      <c r="H168" s="387"/>
      <c r="I168" s="387">
        <f t="shared" si="36"/>
        <v>0</v>
      </c>
      <c r="J168" s="387">
        <f t="shared" si="37"/>
        <v>2744</v>
      </c>
      <c r="K168" s="387" t="s">
        <v>1132</v>
      </c>
      <c r="L168" s="367"/>
    </row>
    <row r="169" spans="1:12" ht="15.6" x14ac:dyDescent="0.3">
      <c r="A169" s="141"/>
      <c r="B169" s="300"/>
      <c r="C169" s="141"/>
      <c r="D169" s="495">
        <f>SUM(D165:D168)</f>
        <v>10976</v>
      </c>
      <c r="E169" s="495">
        <f t="shared" ref="E169:J169" si="38">SUM(E165:E168)</f>
        <v>3600</v>
      </c>
      <c r="F169" s="495">
        <f t="shared" si="38"/>
        <v>745</v>
      </c>
      <c r="G169" s="495">
        <f t="shared" si="38"/>
        <v>0</v>
      </c>
      <c r="H169" s="495">
        <f t="shared" si="38"/>
        <v>0</v>
      </c>
      <c r="I169" s="495">
        <f t="shared" si="38"/>
        <v>4345</v>
      </c>
      <c r="J169" s="495">
        <f t="shared" si="38"/>
        <v>6631</v>
      </c>
      <c r="K169" s="142"/>
      <c r="L169" s="367"/>
    </row>
    <row r="170" spans="1:12" ht="15.6" x14ac:dyDescent="0.3">
      <c r="A170" s="141"/>
      <c r="B170" s="300"/>
      <c r="C170" s="141"/>
      <c r="D170" s="142"/>
      <c r="E170" s="142"/>
      <c r="F170" s="142"/>
      <c r="G170" s="142"/>
      <c r="H170" s="142"/>
      <c r="I170" s="142"/>
      <c r="J170" s="142"/>
      <c r="K170" s="142"/>
      <c r="L170" s="367"/>
    </row>
    <row r="171" spans="1:12" ht="16.2" thickBot="1" x14ac:dyDescent="0.35">
      <c r="A171" s="362" t="s">
        <v>1228</v>
      </c>
      <c r="B171" s="309"/>
      <c r="C171" s="363"/>
      <c r="D171" s="363"/>
      <c r="E171" s="363"/>
      <c r="F171" s="363"/>
      <c r="G171" s="363"/>
      <c r="H171" s="363"/>
      <c r="I171" s="363"/>
      <c r="J171" s="363"/>
      <c r="K171" s="363"/>
    </row>
    <row r="172" spans="1:12" ht="27.6" thickBot="1" x14ac:dyDescent="0.35">
      <c r="A172" s="354" t="s">
        <v>0</v>
      </c>
      <c r="B172" s="295" t="s">
        <v>1</v>
      </c>
      <c r="C172" s="354" t="s">
        <v>2</v>
      </c>
      <c r="D172" s="355" t="s">
        <v>854</v>
      </c>
      <c r="E172" s="573" t="s">
        <v>855</v>
      </c>
      <c r="F172" s="574"/>
      <c r="G172" s="574"/>
      <c r="H172" s="575"/>
      <c r="I172" s="356"/>
      <c r="J172" s="357" t="s">
        <v>856</v>
      </c>
      <c r="K172" s="295" t="s">
        <v>3</v>
      </c>
    </row>
    <row r="173" spans="1:12" ht="16.2" thickBot="1" x14ac:dyDescent="0.35">
      <c r="A173" s="385"/>
      <c r="B173" s="386"/>
      <c r="C173" s="385"/>
      <c r="D173" s="281"/>
      <c r="E173" s="387"/>
      <c r="F173" s="387"/>
      <c r="G173" s="387"/>
      <c r="H173" s="387"/>
      <c r="I173" s="387"/>
      <c r="J173" s="387"/>
      <c r="K173" s="387"/>
    </row>
    <row r="174" spans="1:12" ht="15.6" x14ac:dyDescent="0.3">
      <c r="A174" s="273"/>
      <c r="B174" s="275"/>
      <c r="C174" s="273"/>
      <c r="D174" s="271"/>
      <c r="E174" s="271"/>
      <c r="F174" s="271"/>
      <c r="G174" s="271"/>
      <c r="H174" s="271"/>
      <c r="I174" s="271"/>
      <c r="J174" s="271"/>
      <c r="K174" s="271"/>
    </row>
    <row r="175" spans="1:12" ht="15.6" x14ac:dyDescent="0.3">
      <c r="A175" s="141"/>
      <c r="B175" s="300"/>
      <c r="C175" s="141"/>
      <c r="D175" s="142"/>
      <c r="E175" s="142"/>
      <c r="F175" s="142"/>
      <c r="G175" s="142"/>
      <c r="H175" s="142"/>
      <c r="I175" s="142"/>
      <c r="J175" s="142"/>
      <c r="K175" s="142"/>
    </row>
    <row r="176" spans="1:12" ht="15.6" x14ac:dyDescent="0.3">
      <c r="A176" s="141"/>
      <c r="B176" s="300"/>
      <c r="C176" s="141"/>
      <c r="D176" s="142"/>
      <c r="E176" s="142"/>
      <c r="F176" s="142"/>
      <c r="G176" s="142"/>
      <c r="H176" s="142"/>
      <c r="I176" s="142"/>
      <c r="J176" s="142"/>
      <c r="K176" s="142"/>
    </row>
    <row r="177" spans="1:11" ht="15.6" x14ac:dyDescent="0.3">
      <c r="A177" s="141"/>
      <c r="B177" s="300"/>
      <c r="C177" s="141"/>
      <c r="D177" s="142"/>
      <c r="E177" s="142"/>
      <c r="F177" s="142"/>
      <c r="G177" s="142"/>
      <c r="H177" s="142"/>
      <c r="I177" s="142"/>
      <c r="J177" s="142"/>
      <c r="K177" s="142"/>
    </row>
    <row r="178" spans="1:11" ht="16.2" thickBot="1" x14ac:dyDescent="0.35">
      <c r="A178" s="362" t="s">
        <v>1229</v>
      </c>
      <c r="B178" s="309"/>
      <c r="C178" s="363"/>
      <c r="D178" s="363"/>
      <c r="E178" s="363"/>
      <c r="F178" s="363"/>
      <c r="G178" s="363"/>
      <c r="H178" s="363"/>
      <c r="I178" s="363"/>
      <c r="J178" s="363"/>
      <c r="K178" s="363"/>
    </row>
    <row r="179" spans="1:11" ht="27.6" thickBot="1" x14ac:dyDescent="0.35">
      <c r="A179" s="354" t="s">
        <v>0</v>
      </c>
      <c r="B179" s="295" t="s">
        <v>1</v>
      </c>
      <c r="C179" s="354" t="s">
        <v>2</v>
      </c>
      <c r="D179" s="355" t="s">
        <v>854</v>
      </c>
      <c r="E179" s="573" t="s">
        <v>855</v>
      </c>
      <c r="F179" s="574"/>
      <c r="G179" s="574"/>
      <c r="H179" s="575"/>
      <c r="I179" s="356"/>
      <c r="J179" s="357" t="s">
        <v>856</v>
      </c>
      <c r="K179" s="295" t="s">
        <v>3</v>
      </c>
    </row>
    <row r="180" spans="1:11" ht="15.6" x14ac:dyDescent="0.3">
      <c r="A180" s="316">
        <v>1</v>
      </c>
      <c r="B180" s="135" t="s">
        <v>282</v>
      </c>
      <c r="C180" s="316">
        <v>1927</v>
      </c>
      <c r="D180" s="284">
        <v>3203</v>
      </c>
      <c r="E180" s="284">
        <v>1550</v>
      </c>
      <c r="F180" s="284"/>
      <c r="G180" s="284"/>
      <c r="H180" s="284"/>
      <c r="I180" s="284">
        <f t="shared" ref="I180" si="39">SUM(E180:H180)</f>
        <v>1550</v>
      </c>
      <c r="J180" s="284">
        <f t="shared" ref="J180" si="40">D180-E180-F180-G180-H180</f>
        <v>1653</v>
      </c>
      <c r="K180" s="284" t="s">
        <v>1395</v>
      </c>
    </row>
    <row r="181" spans="1:11" ht="15.6" x14ac:dyDescent="0.3">
      <c r="A181" s="273">
        <v>2</v>
      </c>
      <c r="B181" s="275" t="s">
        <v>1517</v>
      </c>
      <c r="C181" s="273">
        <v>1930</v>
      </c>
      <c r="D181" s="271">
        <v>3203</v>
      </c>
      <c r="E181" s="271">
        <v>2000</v>
      </c>
      <c r="F181" s="271"/>
      <c r="G181" s="271"/>
      <c r="H181" s="271"/>
      <c r="I181" s="271">
        <f t="shared" ref="I181" si="41">SUM(E181:H181)</f>
        <v>2000</v>
      </c>
      <c r="J181" s="271">
        <f t="shared" ref="J181" si="42">D181-E181-F181-G181-H181</f>
        <v>1203</v>
      </c>
      <c r="K181" s="271" t="s">
        <v>1395</v>
      </c>
    </row>
    <row r="182" spans="1:11" ht="15.6" x14ac:dyDescent="0.3">
      <c r="A182" s="141"/>
      <c r="B182" s="300"/>
      <c r="C182" s="141"/>
      <c r="D182" s="142"/>
      <c r="E182" s="142"/>
      <c r="F182" s="142"/>
      <c r="G182" s="142"/>
      <c r="H182" s="142"/>
      <c r="I182" s="142"/>
      <c r="J182" s="142"/>
      <c r="K182" s="142"/>
    </row>
    <row r="183" spans="1:11" ht="15.6" x14ac:dyDescent="0.3">
      <c r="A183" s="141"/>
      <c r="B183" s="300"/>
      <c r="C183" s="141"/>
      <c r="D183" s="142"/>
      <c r="E183" s="142"/>
      <c r="F183" s="142"/>
      <c r="G183" s="142"/>
      <c r="H183" s="142"/>
      <c r="I183" s="142"/>
      <c r="J183" s="142"/>
      <c r="K183" s="142"/>
    </row>
    <row r="184" spans="1:11" ht="15.6" x14ac:dyDescent="0.3">
      <c r="A184" s="141"/>
      <c r="B184" s="300"/>
      <c r="C184" s="141"/>
      <c r="D184" s="142"/>
      <c r="E184" s="142"/>
      <c r="F184" s="142"/>
      <c r="G184" s="142"/>
      <c r="H184" s="142"/>
      <c r="I184" s="142"/>
      <c r="J184" s="142"/>
      <c r="K184" s="142"/>
    </row>
    <row r="185" spans="1:11" ht="16.2" thickBot="1" x14ac:dyDescent="0.35">
      <c r="A185" s="362" t="s">
        <v>1230</v>
      </c>
      <c r="B185" s="309"/>
      <c r="C185" s="363"/>
      <c r="D185" s="363"/>
      <c r="E185" s="363"/>
      <c r="F185" s="363"/>
      <c r="G185" s="363"/>
      <c r="H185" s="363"/>
      <c r="I185" s="363"/>
      <c r="J185" s="363"/>
      <c r="K185" s="363"/>
    </row>
    <row r="186" spans="1:11" ht="27.6" thickBot="1" x14ac:dyDescent="0.35">
      <c r="A186" s="354" t="s">
        <v>0</v>
      </c>
      <c r="B186" s="295" t="s">
        <v>1</v>
      </c>
      <c r="C186" s="354" t="s">
        <v>2</v>
      </c>
      <c r="D186" s="355" t="s">
        <v>854</v>
      </c>
      <c r="E186" s="573" t="s">
        <v>855</v>
      </c>
      <c r="F186" s="574"/>
      <c r="G186" s="574"/>
      <c r="H186" s="575"/>
      <c r="I186" s="356"/>
      <c r="J186" s="357" t="s">
        <v>856</v>
      </c>
      <c r="K186" s="295" t="s">
        <v>3</v>
      </c>
    </row>
    <row r="187" spans="1:11" ht="16.2" thickBot="1" x14ac:dyDescent="0.35">
      <c r="A187" s="316">
        <v>1</v>
      </c>
      <c r="B187" s="388" t="s">
        <v>14</v>
      </c>
      <c r="C187" s="316">
        <v>1633</v>
      </c>
      <c r="D187" s="281">
        <v>2744</v>
      </c>
      <c r="E187" s="284">
        <v>1650</v>
      </c>
      <c r="F187" s="284">
        <v>594</v>
      </c>
      <c r="G187" s="284">
        <v>500</v>
      </c>
      <c r="H187" s="284"/>
      <c r="I187" s="284">
        <f>SUM(E187:H187)</f>
        <v>2744</v>
      </c>
      <c r="J187" s="284">
        <f>D187-E187-F187-G187-H187</f>
        <v>0</v>
      </c>
      <c r="K187" s="284" t="s">
        <v>1395</v>
      </c>
    </row>
    <row r="188" spans="1:11" ht="15.6" x14ac:dyDescent="0.3">
      <c r="A188" s="145"/>
      <c r="B188" s="146"/>
      <c r="C188" s="145"/>
      <c r="D188" s="147"/>
      <c r="E188" s="147"/>
      <c r="F188" s="147"/>
      <c r="G188" s="147"/>
      <c r="H188" s="147"/>
      <c r="I188" s="147"/>
      <c r="J188" s="147"/>
      <c r="K188" s="147"/>
    </row>
    <row r="189" spans="1:11" ht="15.6" x14ac:dyDescent="0.3">
      <c r="A189" s="141"/>
      <c r="B189" s="300"/>
      <c r="C189" s="141"/>
      <c r="D189" s="142"/>
      <c r="E189" s="142"/>
      <c r="F189" s="142"/>
      <c r="G189" s="142"/>
      <c r="H189" s="142"/>
      <c r="I189" s="142"/>
      <c r="J189" s="142"/>
      <c r="K189" s="142"/>
    </row>
    <row r="190" spans="1:11" ht="15.6" x14ac:dyDescent="0.3">
      <c r="A190" s="361"/>
      <c r="B190" s="303"/>
      <c r="C190" s="361"/>
      <c r="D190" s="279"/>
      <c r="E190" s="279"/>
      <c r="F190" s="279"/>
      <c r="G190" s="279"/>
      <c r="H190" s="279"/>
      <c r="I190" s="279"/>
      <c r="J190" s="279"/>
      <c r="K190" s="279"/>
    </row>
    <row r="191" spans="1:11" ht="16.2" thickBot="1" x14ac:dyDescent="0.35">
      <c r="A191" s="362" t="s">
        <v>108</v>
      </c>
      <c r="B191" s="309"/>
      <c r="C191" s="363"/>
      <c r="D191" s="363"/>
      <c r="E191" s="363"/>
      <c r="F191" s="363"/>
      <c r="G191" s="363"/>
      <c r="H191" s="363"/>
      <c r="I191" s="363"/>
      <c r="J191" s="363"/>
      <c r="K191" s="363"/>
    </row>
    <row r="192" spans="1:11" ht="27.6" thickBot="1" x14ac:dyDescent="0.35">
      <c r="A192" s="354" t="s">
        <v>0</v>
      </c>
      <c r="B192" s="295" t="s">
        <v>1</v>
      </c>
      <c r="C192" s="354" t="s">
        <v>2</v>
      </c>
      <c r="D192" s="355" t="s">
        <v>854</v>
      </c>
      <c r="E192" s="573" t="s">
        <v>855</v>
      </c>
      <c r="F192" s="574"/>
      <c r="G192" s="574"/>
      <c r="H192" s="575"/>
      <c r="I192" s="356"/>
      <c r="J192" s="357" t="s">
        <v>856</v>
      </c>
      <c r="K192" s="295" t="s">
        <v>3</v>
      </c>
    </row>
    <row r="193" spans="1:12" ht="15.6" x14ac:dyDescent="0.3">
      <c r="A193" s="316">
        <v>1</v>
      </c>
      <c r="B193" s="135" t="s">
        <v>1441</v>
      </c>
      <c r="C193" s="316"/>
      <c r="D193" s="443">
        <v>6672</v>
      </c>
      <c r="E193" s="284">
        <v>2040</v>
      </c>
      <c r="F193" s="284">
        <v>2000</v>
      </c>
      <c r="G193" s="284"/>
      <c r="H193" s="284"/>
      <c r="I193" s="284">
        <f>SUM(E193:H193)</f>
        <v>4040</v>
      </c>
      <c r="J193" s="284">
        <f>D193-E193-F193-G193-H193</f>
        <v>2632</v>
      </c>
      <c r="K193" s="284" t="s">
        <v>1395</v>
      </c>
    </row>
    <row r="194" spans="1:12" ht="16.2" thickBot="1" x14ac:dyDescent="0.35">
      <c r="A194" s="273">
        <v>2</v>
      </c>
      <c r="B194" s="275" t="s">
        <v>1609</v>
      </c>
      <c r="C194" s="273"/>
      <c r="D194" s="442">
        <v>6672</v>
      </c>
      <c r="E194" s="271">
        <v>6672</v>
      </c>
      <c r="F194" s="271"/>
      <c r="G194" s="271"/>
      <c r="H194" s="271"/>
      <c r="I194" s="271"/>
      <c r="J194" s="271"/>
      <c r="K194" s="271"/>
    </row>
    <row r="195" spans="1:12" ht="16.2" thickBot="1" x14ac:dyDescent="0.35">
      <c r="A195" s="316">
        <v>3</v>
      </c>
      <c r="B195" s="480" t="s">
        <v>1443</v>
      </c>
      <c r="C195" s="479"/>
      <c r="D195" s="497">
        <v>6672</v>
      </c>
      <c r="E195" s="481">
        <v>2040</v>
      </c>
      <c r="F195" s="481"/>
      <c r="G195" s="481"/>
      <c r="H195" s="481"/>
      <c r="I195" s="93">
        <f t="shared" ref="I195:I196" si="43">SUM(E195:H195)</f>
        <v>2040</v>
      </c>
      <c r="J195" s="481">
        <f t="shared" ref="J195:J196" si="44">D195-E195-F195-G195-H195</f>
        <v>4632</v>
      </c>
      <c r="K195" s="481"/>
    </row>
    <row r="196" spans="1:12" ht="15.6" x14ac:dyDescent="0.3">
      <c r="A196" s="415">
        <v>4</v>
      </c>
      <c r="B196" s="409" t="s">
        <v>1460</v>
      </c>
      <c r="C196" s="415"/>
      <c r="D196" s="443">
        <v>6672</v>
      </c>
      <c r="E196" s="379">
        <v>2040</v>
      </c>
      <c r="F196" s="379"/>
      <c r="G196" s="379"/>
      <c r="H196" s="379"/>
      <c r="I196" s="284">
        <f t="shared" si="43"/>
        <v>2040</v>
      </c>
      <c r="J196" s="379">
        <f t="shared" si="44"/>
        <v>4632</v>
      </c>
      <c r="K196" s="379"/>
    </row>
    <row r="197" spans="1:12" ht="15.6" x14ac:dyDescent="0.3">
      <c r="A197" s="273">
        <v>5</v>
      </c>
      <c r="B197" s="275" t="s">
        <v>1711</v>
      </c>
      <c r="C197" s="273"/>
      <c r="D197" s="442">
        <v>6672</v>
      </c>
      <c r="E197" s="271">
        <v>6672</v>
      </c>
      <c r="F197" s="271"/>
      <c r="G197" s="271"/>
      <c r="H197" s="271"/>
      <c r="I197" s="271"/>
      <c r="J197" s="271"/>
      <c r="K197" s="271"/>
    </row>
    <row r="198" spans="1:12" ht="15.6" x14ac:dyDescent="0.3">
      <c r="A198" s="141"/>
      <c r="B198" s="300"/>
      <c r="C198" s="141"/>
      <c r="D198" s="495">
        <f>SUM(D193:D197)</f>
        <v>33360</v>
      </c>
      <c r="E198" s="495">
        <f>SUM(E193:E197)</f>
        <v>19464</v>
      </c>
      <c r="F198" s="495">
        <f t="shared" ref="F198:J198" si="45">SUM(F193:F196)</f>
        <v>2000</v>
      </c>
      <c r="G198" s="495">
        <f t="shared" si="45"/>
        <v>0</v>
      </c>
      <c r="H198" s="495">
        <f t="shared" si="45"/>
        <v>0</v>
      </c>
      <c r="I198" s="495">
        <f t="shared" si="45"/>
        <v>8120</v>
      </c>
      <c r="J198" s="495">
        <f t="shared" si="45"/>
        <v>11896</v>
      </c>
      <c r="K198" s="142"/>
    </row>
    <row r="199" spans="1:12" ht="15.6" x14ac:dyDescent="0.3">
      <c r="A199" s="141"/>
      <c r="B199" s="300"/>
      <c r="C199" s="141"/>
      <c r="D199" s="142"/>
      <c r="E199" s="142"/>
      <c r="F199" s="142"/>
      <c r="G199" s="142"/>
      <c r="H199" s="142"/>
      <c r="I199" s="142"/>
      <c r="J199" s="142"/>
      <c r="K199" s="142"/>
    </row>
    <row r="200" spans="1:12" ht="15.6" x14ac:dyDescent="0.3">
      <c r="A200" s="361"/>
      <c r="B200" s="303"/>
      <c r="C200" s="361"/>
      <c r="D200" s="279"/>
      <c r="E200" s="279"/>
      <c r="F200" s="279"/>
      <c r="G200" s="279"/>
      <c r="H200" s="279"/>
      <c r="I200" s="279"/>
      <c r="J200" s="279"/>
      <c r="K200" s="279"/>
    </row>
    <row r="201" spans="1:12" ht="16.2" thickBot="1" x14ac:dyDescent="0.35">
      <c r="A201" s="362" t="s">
        <v>1231</v>
      </c>
      <c r="B201" s="309"/>
      <c r="C201" s="363"/>
      <c r="D201" s="363"/>
      <c r="E201" s="363"/>
      <c r="F201" s="363"/>
      <c r="G201" s="363"/>
      <c r="H201" s="363"/>
      <c r="I201" s="363"/>
      <c r="J201" s="363"/>
      <c r="K201" s="363"/>
    </row>
    <row r="202" spans="1:12" ht="27.6" thickBot="1" x14ac:dyDescent="0.35">
      <c r="A202" s="354" t="s">
        <v>0</v>
      </c>
      <c r="B202" s="295" t="s">
        <v>1</v>
      </c>
      <c r="C202" s="354" t="s">
        <v>2</v>
      </c>
      <c r="D202" s="355" t="s">
        <v>854</v>
      </c>
      <c r="E202" s="573" t="s">
        <v>855</v>
      </c>
      <c r="F202" s="574"/>
      <c r="G202" s="574"/>
      <c r="H202" s="575"/>
      <c r="I202" s="356"/>
      <c r="J202" s="357" t="s">
        <v>856</v>
      </c>
      <c r="K202" s="295" t="s">
        <v>3</v>
      </c>
    </row>
    <row r="203" spans="1:12" ht="16.2" thickBot="1" x14ac:dyDescent="0.35">
      <c r="A203" s="292">
        <v>1</v>
      </c>
      <c r="B203" s="550" t="s">
        <v>374</v>
      </c>
      <c r="C203" s="566">
        <v>2807</v>
      </c>
      <c r="D203" s="553">
        <v>3538</v>
      </c>
      <c r="E203" s="553"/>
      <c r="F203" s="553"/>
      <c r="G203" s="553"/>
      <c r="H203" s="553"/>
      <c r="I203" s="553"/>
      <c r="J203" s="553">
        <f>D203-E203-F203-G203-H203</f>
        <v>3538</v>
      </c>
      <c r="K203" s="553" t="s">
        <v>1736</v>
      </c>
      <c r="L203" s="294" t="s">
        <v>1725</v>
      </c>
    </row>
    <row r="204" spans="1:12" ht="16.2" thickBot="1" x14ac:dyDescent="0.35">
      <c r="A204" s="292">
        <v>2</v>
      </c>
      <c r="B204" s="112" t="s">
        <v>373</v>
      </c>
      <c r="C204" s="292">
        <v>2808</v>
      </c>
      <c r="D204" s="281">
        <v>3538</v>
      </c>
      <c r="E204" s="281">
        <v>2000</v>
      </c>
      <c r="F204" s="281"/>
      <c r="G204" s="281"/>
      <c r="H204" s="281"/>
      <c r="I204" s="281"/>
      <c r="J204" s="281">
        <f t="shared" ref="J204:J206" si="46">D204-E204-F204-G204-H204</f>
        <v>1538</v>
      </c>
      <c r="K204" s="281" t="s">
        <v>1656</v>
      </c>
    </row>
    <row r="205" spans="1:12" ht="16.2" thickBot="1" x14ac:dyDescent="0.35">
      <c r="A205" s="292">
        <v>3</v>
      </c>
      <c r="B205" s="112" t="s">
        <v>375</v>
      </c>
      <c r="C205" s="292">
        <v>2811</v>
      </c>
      <c r="D205" s="281">
        <v>3538</v>
      </c>
      <c r="E205" s="281">
        <v>3000</v>
      </c>
      <c r="F205" s="281"/>
      <c r="G205" s="281"/>
      <c r="H205" s="281"/>
      <c r="I205" s="281">
        <f>SUM(E205:H205)</f>
        <v>3000</v>
      </c>
      <c r="J205" s="281">
        <f t="shared" si="46"/>
        <v>538</v>
      </c>
      <c r="K205" s="351" t="s">
        <v>1395</v>
      </c>
    </row>
    <row r="206" spans="1:12" ht="16.2" thickBot="1" x14ac:dyDescent="0.35">
      <c r="A206" s="292">
        <v>4</v>
      </c>
      <c r="B206" s="135" t="s">
        <v>946</v>
      </c>
      <c r="C206" s="316">
        <v>2810</v>
      </c>
      <c r="D206" s="281">
        <v>3538</v>
      </c>
      <c r="E206" s="284">
        <v>1952</v>
      </c>
      <c r="F206" s="284"/>
      <c r="G206" s="284"/>
      <c r="H206" s="284"/>
      <c r="I206" s="284">
        <f>SUM(E206:H206)</f>
        <v>1952</v>
      </c>
      <c r="J206" s="284">
        <f t="shared" si="46"/>
        <v>1586</v>
      </c>
      <c r="K206" s="284" t="s">
        <v>1395</v>
      </c>
    </row>
    <row r="207" spans="1:12" ht="15.6" x14ac:dyDescent="0.3">
      <c r="A207" s="145"/>
      <c r="B207" s="146"/>
      <c r="C207" s="145"/>
      <c r="D207" s="494">
        <f>SUM(D203:D206)</f>
        <v>14152</v>
      </c>
      <c r="E207" s="494">
        <f t="shared" ref="E207:J207" si="47">SUM(E203:E206)</f>
        <v>6952</v>
      </c>
      <c r="F207" s="494">
        <f t="shared" si="47"/>
        <v>0</v>
      </c>
      <c r="G207" s="494">
        <f t="shared" si="47"/>
        <v>0</v>
      </c>
      <c r="H207" s="494">
        <f t="shared" si="47"/>
        <v>0</v>
      </c>
      <c r="I207" s="494">
        <f t="shared" si="47"/>
        <v>4952</v>
      </c>
      <c r="J207" s="494">
        <f t="shared" si="47"/>
        <v>7200</v>
      </c>
      <c r="K207" s="147"/>
    </row>
    <row r="208" spans="1:12" ht="15.6" x14ac:dyDescent="0.3">
      <c r="A208" s="141"/>
      <c r="B208" s="300"/>
      <c r="C208" s="141"/>
      <c r="D208" s="142"/>
      <c r="E208" s="142"/>
      <c r="F208" s="142"/>
      <c r="G208" s="142"/>
      <c r="H208" s="142"/>
      <c r="I208" s="142"/>
      <c r="J208" s="142"/>
      <c r="K208" s="142"/>
    </row>
    <row r="209" spans="1:12" ht="15.6" x14ac:dyDescent="0.3">
      <c r="A209" s="361"/>
      <c r="B209" s="303"/>
      <c r="C209" s="361"/>
      <c r="D209" s="279"/>
      <c r="E209" s="279"/>
      <c r="F209" s="279"/>
      <c r="G209" s="279"/>
      <c r="H209" s="279"/>
      <c r="I209" s="279"/>
      <c r="J209" s="279"/>
      <c r="K209" s="279"/>
    </row>
    <row r="210" spans="1:12" ht="16.2" thickBot="1" x14ac:dyDescent="0.35">
      <c r="A210" s="362" t="s">
        <v>1168</v>
      </c>
      <c r="B210" s="309"/>
      <c r="C210" s="363"/>
      <c r="D210" s="363"/>
      <c r="E210" s="363"/>
      <c r="F210" s="363"/>
      <c r="G210" s="363"/>
      <c r="H210" s="363"/>
      <c r="I210" s="363"/>
      <c r="J210" s="363"/>
      <c r="K210" s="363"/>
    </row>
    <row r="211" spans="1:12" ht="27.6" thickBot="1" x14ac:dyDescent="0.35">
      <c r="A211" s="354" t="s">
        <v>0</v>
      </c>
      <c r="B211" s="295" t="s">
        <v>1</v>
      </c>
      <c r="C211" s="354" t="s">
        <v>2</v>
      </c>
      <c r="D211" s="355" t="s">
        <v>854</v>
      </c>
      <c r="E211" s="573" t="s">
        <v>855</v>
      </c>
      <c r="F211" s="574"/>
      <c r="G211" s="574"/>
      <c r="H211" s="575"/>
      <c r="I211" s="356"/>
      <c r="J211" s="357" t="s">
        <v>856</v>
      </c>
      <c r="K211" s="295" t="s">
        <v>3</v>
      </c>
    </row>
    <row r="212" spans="1:12" ht="16.2" thickBot="1" x14ac:dyDescent="0.35">
      <c r="A212" s="292">
        <v>1</v>
      </c>
      <c r="B212" s="112" t="s">
        <v>205</v>
      </c>
      <c r="C212" s="292">
        <v>1931</v>
      </c>
      <c r="D212" s="281">
        <v>3203</v>
      </c>
      <c r="E212" s="281">
        <v>1000</v>
      </c>
      <c r="F212" s="281"/>
      <c r="G212" s="281"/>
      <c r="H212" s="281"/>
      <c r="I212" s="281">
        <f>SUM(E212:H212)</f>
        <v>1000</v>
      </c>
      <c r="J212" s="281">
        <f t="shared" ref="J212:J213" si="48">D212-E212-F212-G212-H212</f>
        <v>2203</v>
      </c>
      <c r="K212" s="281" t="s">
        <v>1629</v>
      </c>
    </row>
    <row r="213" spans="1:12" ht="16.2" thickBot="1" x14ac:dyDescent="0.35">
      <c r="A213" s="316">
        <v>2</v>
      </c>
      <c r="B213" s="135" t="s">
        <v>204</v>
      </c>
      <c r="C213" s="316">
        <v>1932</v>
      </c>
      <c r="D213" s="281">
        <v>3203</v>
      </c>
      <c r="E213" s="284">
        <v>670</v>
      </c>
      <c r="F213" s="284">
        <v>2000</v>
      </c>
      <c r="G213" s="284"/>
      <c r="H213" s="284"/>
      <c r="I213" s="284">
        <f>SUM(E213:H213)</f>
        <v>2670</v>
      </c>
      <c r="J213" s="284">
        <f t="shared" si="48"/>
        <v>533</v>
      </c>
      <c r="K213" s="284" t="s">
        <v>1395</v>
      </c>
      <c r="L213" s="294" t="s">
        <v>1725</v>
      </c>
    </row>
    <row r="214" spans="1:12" ht="15.6" x14ac:dyDescent="0.3">
      <c r="A214" s="145"/>
      <c r="B214" s="146"/>
      <c r="C214" s="145"/>
      <c r="D214" s="494">
        <f>SUM(D212:D213)</f>
        <v>6406</v>
      </c>
      <c r="E214" s="494">
        <f t="shared" ref="E214:J214" si="49">SUM(E212:E213)</f>
        <v>1670</v>
      </c>
      <c r="F214" s="494">
        <f t="shared" si="49"/>
        <v>2000</v>
      </c>
      <c r="G214" s="494">
        <f t="shared" si="49"/>
        <v>0</v>
      </c>
      <c r="H214" s="494">
        <f t="shared" si="49"/>
        <v>0</v>
      </c>
      <c r="I214" s="494">
        <f t="shared" si="49"/>
        <v>3670</v>
      </c>
      <c r="J214" s="494">
        <f t="shared" si="49"/>
        <v>2736</v>
      </c>
      <c r="K214" s="147"/>
    </row>
    <row r="215" spans="1:12" ht="15.6" x14ac:dyDescent="0.3">
      <c r="A215" s="141"/>
      <c r="B215" s="300"/>
      <c r="C215" s="141"/>
      <c r="D215" s="142"/>
      <c r="E215" s="142"/>
      <c r="F215" s="142"/>
      <c r="G215" s="142"/>
      <c r="H215" s="142"/>
      <c r="I215" s="142"/>
      <c r="J215" s="142"/>
      <c r="K215" s="142"/>
    </row>
    <row r="216" spans="1:12" ht="15.6" x14ac:dyDescent="0.3">
      <c r="A216" s="361"/>
      <c r="B216" s="303"/>
      <c r="C216" s="361"/>
      <c r="D216" s="279"/>
      <c r="E216" s="279"/>
      <c r="F216" s="279"/>
      <c r="G216" s="279"/>
      <c r="H216" s="279"/>
      <c r="I216" s="279"/>
      <c r="J216" s="279"/>
      <c r="K216" s="279"/>
    </row>
    <row r="217" spans="1:12" ht="16.2" thickBot="1" x14ac:dyDescent="0.35">
      <c r="A217" s="362" t="s">
        <v>1232</v>
      </c>
      <c r="B217" s="309"/>
      <c r="C217" s="363"/>
      <c r="D217" s="363"/>
      <c r="E217" s="363"/>
      <c r="F217" s="363"/>
      <c r="G217" s="363"/>
      <c r="H217" s="363"/>
      <c r="I217" s="363"/>
      <c r="J217" s="363"/>
      <c r="K217" s="363"/>
    </row>
    <row r="218" spans="1:12" ht="27.6" thickBot="1" x14ac:dyDescent="0.35">
      <c r="A218" s="354" t="s">
        <v>0</v>
      </c>
      <c r="B218" s="295" t="s">
        <v>1</v>
      </c>
      <c r="C218" s="354" t="s">
        <v>2</v>
      </c>
      <c r="D218" s="355" t="s">
        <v>854</v>
      </c>
      <c r="E218" s="573" t="s">
        <v>855</v>
      </c>
      <c r="F218" s="574"/>
      <c r="G218" s="574"/>
      <c r="H218" s="575"/>
      <c r="I218" s="356"/>
      <c r="J218" s="357" t="s">
        <v>856</v>
      </c>
      <c r="K218" s="295" t="s">
        <v>3</v>
      </c>
    </row>
    <row r="219" spans="1:12" ht="16.2" thickBot="1" x14ac:dyDescent="0.35">
      <c r="A219" s="316">
        <v>1</v>
      </c>
      <c r="B219" s="389" t="s">
        <v>1169</v>
      </c>
      <c r="C219" s="316">
        <v>1512</v>
      </c>
      <c r="D219" s="281">
        <v>2744</v>
      </c>
      <c r="E219" s="284">
        <v>1600</v>
      </c>
      <c r="F219" s="284"/>
      <c r="G219" s="284"/>
      <c r="H219" s="284"/>
      <c r="I219" s="284"/>
      <c r="J219" s="284">
        <f>D219-E219-F219-G219-H219</f>
        <v>1144</v>
      </c>
      <c r="K219" s="284"/>
    </row>
    <row r="220" spans="1:12" ht="15.6" x14ac:dyDescent="0.3">
      <c r="A220" s="145"/>
      <c r="B220" s="146"/>
      <c r="C220" s="145"/>
      <c r="D220" s="147"/>
      <c r="E220" s="147"/>
      <c r="F220" s="147"/>
      <c r="G220" s="147"/>
      <c r="H220" s="147"/>
      <c r="I220" s="147"/>
      <c r="J220" s="147"/>
      <c r="K220" s="147"/>
    </row>
    <row r="221" spans="1:12" ht="15.6" x14ac:dyDescent="0.3">
      <c r="A221" s="141"/>
      <c r="B221" s="300"/>
      <c r="C221" s="141"/>
      <c r="D221" s="142"/>
      <c r="E221" s="142"/>
      <c r="F221" s="142"/>
      <c r="G221" s="142"/>
      <c r="H221" s="142"/>
      <c r="I221" s="142"/>
      <c r="J221" s="142"/>
      <c r="K221" s="142"/>
    </row>
    <row r="222" spans="1:12" ht="15.6" x14ac:dyDescent="0.3">
      <c r="A222" s="361"/>
      <c r="B222" s="303"/>
      <c r="C222" s="361"/>
      <c r="D222" s="279"/>
      <c r="E222" s="279"/>
      <c r="F222" s="279"/>
      <c r="G222" s="279"/>
      <c r="H222" s="279"/>
      <c r="I222" s="279"/>
      <c r="J222" s="279"/>
      <c r="K222" s="279"/>
    </row>
    <row r="223" spans="1:12" ht="16.2" thickBot="1" x14ac:dyDescent="0.35">
      <c r="A223" s="362" t="s">
        <v>1233</v>
      </c>
      <c r="B223" s="309"/>
      <c r="C223" s="363"/>
      <c r="D223" s="363"/>
      <c r="E223" s="363"/>
      <c r="F223" s="363"/>
      <c r="G223" s="363"/>
      <c r="H223" s="363"/>
      <c r="I223" s="363"/>
      <c r="J223" s="363"/>
      <c r="K223" s="363"/>
    </row>
    <row r="224" spans="1:12" ht="27" x14ac:dyDescent="0.3">
      <c r="A224" s="381" t="s">
        <v>0</v>
      </c>
      <c r="B224" s="318" t="s">
        <v>1</v>
      </c>
      <c r="C224" s="381" t="s">
        <v>2</v>
      </c>
      <c r="D224" s="382" t="s">
        <v>854</v>
      </c>
      <c r="E224" s="576" t="s">
        <v>855</v>
      </c>
      <c r="F224" s="577"/>
      <c r="G224" s="577"/>
      <c r="H224" s="578"/>
      <c r="I224" s="413"/>
      <c r="J224" s="384" t="s">
        <v>856</v>
      </c>
      <c r="K224" s="318" t="s">
        <v>3</v>
      </c>
    </row>
    <row r="225" spans="1:11" ht="15.6" x14ac:dyDescent="0.3">
      <c r="A225" s="273">
        <v>1</v>
      </c>
      <c r="B225" s="275"/>
      <c r="C225" s="273"/>
      <c r="D225" s="271">
        <v>6672</v>
      </c>
      <c r="E225" s="271"/>
      <c r="F225" s="271"/>
      <c r="G225" s="271"/>
      <c r="H225" s="271"/>
      <c r="I225" s="271">
        <f>SUM(E225:H225)</f>
        <v>0</v>
      </c>
      <c r="J225" s="271">
        <f>D225-E225-F225-G225-H225</f>
        <v>6672</v>
      </c>
      <c r="K225" s="271"/>
    </row>
    <row r="226" spans="1:11" ht="15.6" x14ac:dyDescent="0.3">
      <c r="A226" s="141"/>
      <c r="B226" s="300"/>
      <c r="C226" s="141"/>
      <c r="D226" s="142"/>
      <c r="E226" s="142"/>
      <c r="F226" s="142"/>
      <c r="G226" s="142"/>
      <c r="H226" s="142"/>
      <c r="I226" s="142"/>
      <c r="J226" s="142"/>
      <c r="K226" s="142"/>
    </row>
    <row r="227" spans="1:11" ht="15.6" x14ac:dyDescent="0.3">
      <c r="A227" s="141"/>
      <c r="B227" s="300"/>
      <c r="C227" s="141"/>
      <c r="D227" s="142"/>
      <c r="E227" s="142"/>
      <c r="F227" s="142"/>
      <c r="G227" s="142"/>
      <c r="H227" s="142"/>
      <c r="I227" s="142"/>
      <c r="J227" s="142"/>
      <c r="K227" s="142"/>
    </row>
    <row r="228" spans="1:11" ht="15.6" x14ac:dyDescent="0.3">
      <c r="A228" s="141"/>
      <c r="B228" s="300"/>
      <c r="C228" s="141"/>
      <c r="D228" s="142"/>
      <c r="E228" s="142"/>
      <c r="F228" s="142"/>
      <c r="G228" s="142"/>
      <c r="H228" s="142"/>
      <c r="I228" s="142"/>
      <c r="J228" s="142"/>
      <c r="K228" s="142"/>
    </row>
    <row r="229" spans="1:11" ht="16.2" thickBot="1" x14ac:dyDescent="0.35">
      <c r="A229" s="362" t="s">
        <v>1234</v>
      </c>
      <c r="B229" s="309"/>
      <c r="C229" s="363"/>
      <c r="D229" s="363"/>
      <c r="E229" s="363"/>
      <c r="F229" s="363"/>
      <c r="G229" s="363"/>
      <c r="H229" s="363"/>
      <c r="I229" s="363"/>
      <c r="J229" s="363"/>
      <c r="K229" s="363"/>
    </row>
    <row r="230" spans="1:11" ht="27.6" thickBot="1" x14ac:dyDescent="0.35">
      <c r="A230" s="354" t="s">
        <v>0</v>
      </c>
      <c r="B230" s="295" t="s">
        <v>1</v>
      </c>
      <c r="C230" s="354" t="s">
        <v>2</v>
      </c>
      <c r="D230" s="355" t="s">
        <v>854</v>
      </c>
      <c r="E230" s="573" t="s">
        <v>855</v>
      </c>
      <c r="F230" s="574"/>
      <c r="G230" s="574"/>
      <c r="H230" s="575"/>
      <c r="I230" s="356"/>
      <c r="J230" s="357" t="s">
        <v>856</v>
      </c>
      <c r="K230" s="295" t="s">
        <v>3</v>
      </c>
    </row>
    <row r="231" spans="1:11" ht="16.2" thickBot="1" x14ac:dyDescent="0.35">
      <c r="A231" s="316">
        <v>1</v>
      </c>
      <c r="B231" s="135" t="s">
        <v>313</v>
      </c>
      <c r="C231" s="316">
        <v>1634</v>
      </c>
      <c r="D231" s="281">
        <v>2744</v>
      </c>
      <c r="E231" s="284">
        <v>1646</v>
      </c>
      <c r="F231" s="284"/>
      <c r="G231" s="284"/>
      <c r="H231" s="284"/>
      <c r="I231" s="284">
        <f>SUM(E231:H231)</f>
        <v>1646</v>
      </c>
      <c r="J231" s="284">
        <f>D231-E231-F231-G231-H231</f>
        <v>1098</v>
      </c>
      <c r="K231" s="284"/>
    </row>
    <row r="232" spans="1:11" ht="15.6" x14ac:dyDescent="0.3">
      <c r="A232" s="145"/>
      <c r="B232" s="146"/>
      <c r="C232" s="145"/>
      <c r="D232" s="147"/>
      <c r="E232" s="147"/>
      <c r="F232" s="147"/>
      <c r="G232" s="147"/>
      <c r="H232" s="147"/>
      <c r="I232" s="147"/>
      <c r="J232" s="147"/>
      <c r="K232" s="147"/>
    </row>
    <row r="233" spans="1:11" ht="15.6" x14ac:dyDescent="0.3">
      <c r="A233" s="141"/>
      <c r="B233" s="300"/>
      <c r="C233" s="141"/>
      <c r="D233" s="142"/>
      <c r="E233" s="142"/>
      <c r="F233" s="142"/>
      <c r="G233" s="142"/>
      <c r="H233" s="142"/>
      <c r="I233" s="142"/>
      <c r="J233" s="142"/>
      <c r="K233" s="142"/>
    </row>
    <row r="234" spans="1:11" ht="15.6" x14ac:dyDescent="0.3">
      <c r="A234" s="361"/>
      <c r="B234" s="303"/>
      <c r="C234" s="361"/>
      <c r="D234" s="279"/>
      <c r="E234" s="279"/>
      <c r="F234" s="279"/>
      <c r="G234" s="279"/>
      <c r="H234" s="279"/>
      <c r="I234" s="279"/>
      <c r="J234" s="279"/>
      <c r="K234" s="279"/>
    </row>
    <row r="235" spans="1:11" ht="16.2" thickBot="1" x14ac:dyDescent="0.35">
      <c r="A235" s="362" t="s">
        <v>1243</v>
      </c>
      <c r="B235" s="309"/>
      <c r="C235" s="363"/>
      <c r="D235" s="363"/>
      <c r="E235" s="363"/>
      <c r="F235" s="363"/>
      <c r="G235" s="363"/>
      <c r="H235" s="363"/>
      <c r="I235" s="363"/>
      <c r="J235" s="363"/>
      <c r="K235" s="363"/>
    </row>
    <row r="236" spans="1:11" ht="27.6" thickBot="1" x14ac:dyDescent="0.35">
      <c r="A236" s="354" t="s">
        <v>0</v>
      </c>
      <c r="B236" s="295" t="s">
        <v>1</v>
      </c>
      <c r="C236" s="354" t="s">
        <v>2</v>
      </c>
      <c r="D236" s="355" t="s">
        <v>854</v>
      </c>
      <c r="E236" s="573" t="s">
        <v>855</v>
      </c>
      <c r="F236" s="574"/>
      <c r="G236" s="574"/>
      <c r="H236" s="575"/>
      <c r="I236" s="356"/>
      <c r="J236" s="357" t="s">
        <v>856</v>
      </c>
      <c r="K236" s="295" t="s">
        <v>3</v>
      </c>
    </row>
    <row r="237" spans="1:11" ht="16.2" thickBot="1" x14ac:dyDescent="0.35">
      <c r="A237" s="292">
        <v>1</v>
      </c>
      <c r="D237" s="281"/>
      <c r="E237" s="281"/>
      <c r="F237" s="281"/>
      <c r="G237" s="281"/>
      <c r="H237" s="281"/>
      <c r="I237" s="281">
        <f>SUM(E237:H237)</f>
        <v>0</v>
      </c>
      <c r="J237" s="281">
        <f>D237-E237-F237-G237-H237</f>
        <v>0</v>
      </c>
      <c r="K237" s="281"/>
    </row>
    <row r="238" spans="1:11" ht="16.2" thickBot="1" x14ac:dyDescent="0.35">
      <c r="A238" s="292">
        <v>2</v>
      </c>
      <c r="B238" s="112"/>
      <c r="C238" s="292"/>
      <c r="D238" s="281"/>
      <c r="E238" s="281"/>
      <c r="F238" s="281"/>
      <c r="G238" s="281"/>
      <c r="H238" s="281"/>
      <c r="I238" s="281">
        <f>SUM(E238:H238)</f>
        <v>0</v>
      </c>
      <c r="J238" s="281">
        <f>D237-E238-F238-G238-H238</f>
        <v>0</v>
      </c>
      <c r="K238" s="281"/>
    </row>
    <row r="239" spans="1:11" ht="15.6" x14ac:dyDescent="0.3">
      <c r="A239" s="141"/>
      <c r="B239" s="300"/>
      <c r="C239" s="141"/>
      <c r="D239" s="142"/>
      <c r="E239" s="142"/>
      <c r="F239" s="142"/>
      <c r="G239" s="142"/>
      <c r="H239" s="142"/>
      <c r="I239" s="142"/>
      <c r="J239" s="142"/>
      <c r="K239" s="142"/>
    </row>
    <row r="240" spans="1:11" ht="15.6" x14ac:dyDescent="0.3">
      <c r="A240" s="141"/>
      <c r="B240" s="300"/>
      <c r="C240" s="141"/>
      <c r="D240" s="142"/>
      <c r="E240" s="142"/>
      <c r="F240" s="142"/>
      <c r="G240" s="142"/>
      <c r="H240" s="142"/>
      <c r="I240" s="142"/>
      <c r="J240" s="142"/>
      <c r="K240" s="142"/>
    </row>
    <row r="241" spans="1:11" ht="15.6" x14ac:dyDescent="0.3">
      <c r="A241" s="141"/>
      <c r="B241" s="300"/>
      <c r="C241" s="141"/>
      <c r="D241" s="142"/>
      <c r="E241" s="142"/>
      <c r="F241" s="142"/>
      <c r="G241" s="142"/>
      <c r="H241" s="142"/>
      <c r="I241" s="142"/>
      <c r="J241" s="142"/>
      <c r="K241" s="142"/>
    </row>
    <row r="242" spans="1:11" ht="15.6" x14ac:dyDescent="0.3">
      <c r="A242" s="141"/>
      <c r="B242" s="300"/>
      <c r="C242" s="141"/>
      <c r="D242" s="142"/>
      <c r="E242" s="142"/>
      <c r="F242" s="142"/>
      <c r="G242" s="142"/>
      <c r="H242" s="142"/>
      <c r="I242" s="142"/>
      <c r="J242" s="142"/>
      <c r="K242" s="142"/>
    </row>
    <row r="243" spans="1:11" ht="16.2" thickBot="1" x14ac:dyDescent="0.35">
      <c r="A243" s="362" t="s">
        <v>1242</v>
      </c>
      <c r="B243" s="309"/>
      <c r="C243" s="363"/>
      <c r="D243" s="363"/>
      <c r="E243" s="363"/>
      <c r="F243" s="363"/>
      <c r="G243" s="363"/>
      <c r="H243" s="363"/>
      <c r="I243" s="363"/>
      <c r="J243" s="363"/>
      <c r="K243" s="363"/>
    </row>
    <row r="244" spans="1:11" ht="27.6" thickBot="1" x14ac:dyDescent="0.35">
      <c r="A244" s="354" t="s">
        <v>0</v>
      </c>
      <c r="B244" s="295" t="s">
        <v>1</v>
      </c>
      <c r="C244" s="354" t="s">
        <v>2</v>
      </c>
      <c r="D244" s="355" t="s">
        <v>854</v>
      </c>
      <c r="E244" s="573" t="s">
        <v>855</v>
      </c>
      <c r="F244" s="574"/>
      <c r="G244" s="574"/>
      <c r="H244" s="575"/>
      <c r="I244" s="356"/>
      <c r="J244" s="357" t="s">
        <v>856</v>
      </c>
      <c r="K244" s="295" t="s">
        <v>3</v>
      </c>
    </row>
    <row r="245" spans="1:11" ht="16.2" thickBot="1" x14ac:dyDescent="0.35">
      <c r="A245" s="292">
        <v>1</v>
      </c>
      <c r="B245" s="294" t="s">
        <v>875</v>
      </c>
      <c r="D245" s="281">
        <v>3203</v>
      </c>
      <c r="E245" s="281"/>
      <c r="F245" s="281"/>
      <c r="G245" s="281"/>
      <c r="H245" s="281"/>
      <c r="I245" s="281">
        <f>SUM(E245:H245)</f>
        <v>0</v>
      </c>
      <c r="J245" s="281">
        <f>D245-E245-F245-G245-H245</f>
        <v>3203</v>
      </c>
      <c r="K245" s="281"/>
    </row>
    <row r="246" spans="1:11" ht="16.2" thickBot="1" x14ac:dyDescent="0.35">
      <c r="A246" s="292">
        <v>2</v>
      </c>
      <c r="B246" s="112" t="s">
        <v>876</v>
      </c>
      <c r="C246" s="292">
        <v>2812</v>
      </c>
      <c r="D246" s="281">
        <v>3203</v>
      </c>
      <c r="E246" s="281">
        <v>1500</v>
      </c>
      <c r="F246" s="281">
        <v>1703</v>
      </c>
      <c r="G246" s="281"/>
      <c r="H246" s="281"/>
      <c r="I246" s="281">
        <f>SUM(E246:H246)</f>
        <v>3203</v>
      </c>
      <c r="J246" s="281">
        <f>D245-E246-F246-G246-H246</f>
        <v>0</v>
      </c>
      <c r="K246" s="281" t="s">
        <v>1395</v>
      </c>
    </row>
    <row r="247" spans="1:11" ht="15.6" x14ac:dyDescent="0.3">
      <c r="A247" s="141"/>
      <c r="B247" s="300"/>
      <c r="C247" s="141"/>
      <c r="D247" s="495">
        <f>SUM(D245:D246)</f>
        <v>6406</v>
      </c>
      <c r="E247" s="495">
        <f t="shared" ref="E247:J247" si="50">SUM(E245:E246)</f>
        <v>1500</v>
      </c>
      <c r="F247" s="495">
        <f t="shared" si="50"/>
        <v>1703</v>
      </c>
      <c r="G247" s="495">
        <f t="shared" si="50"/>
        <v>0</v>
      </c>
      <c r="H247" s="495">
        <f t="shared" si="50"/>
        <v>0</v>
      </c>
      <c r="I247" s="495">
        <f t="shared" si="50"/>
        <v>3203</v>
      </c>
      <c r="J247" s="495">
        <f t="shared" si="50"/>
        <v>3203</v>
      </c>
      <c r="K247" s="142"/>
    </row>
    <row r="248" spans="1:11" ht="15.6" x14ac:dyDescent="0.3">
      <c r="A248" s="141"/>
      <c r="B248" s="300"/>
      <c r="C248" s="141"/>
      <c r="D248" s="142"/>
      <c r="E248" s="142"/>
      <c r="F248" s="142"/>
      <c r="G248" s="142"/>
      <c r="H248" s="142"/>
      <c r="I248" s="142"/>
      <c r="J248" s="142"/>
      <c r="K248" s="142"/>
    </row>
    <row r="249" spans="1:11" ht="16.2" thickBot="1" x14ac:dyDescent="0.35">
      <c r="A249" s="362" t="s">
        <v>15</v>
      </c>
      <c r="B249" s="309"/>
      <c r="C249" s="363"/>
      <c r="D249" s="363"/>
      <c r="E249" s="363"/>
      <c r="F249" s="363"/>
      <c r="G249" s="363"/>
      <c r="H249" s="363"/>
      <c r="I249" s="363"/>
      <c r="J249" s="363"/>
      <c r="K249" s="363"/>
    </row>
    <row r="250" spans="1:11" ht="27.6" thickBot="1" x14ac:dyDescent="0.35">
      <c r="A250" s="354" t="s">
        <v>0</v>
      </c>
      <c r="B250" s="295" t="s">
        <v>1</v>
      </c>
      <c r="C250" s="354" t="s">
        <v>2</v>
      </c>
      <c r="D250" s="355" t="s">
        <v>854</v>
      </c>
      <c r="E250" s="573" t="s">
        <v>855</v>
      </c>
      <c r="F250" s="574"/>
      <c r="G250" s="574"/>
      <c r="H250" s="575"/>
      <c r="I250" s="356"/>
      <c r="J250" s="357" t="s">
        <v>856</v>
      </c>
      <c r="K250" s="295" t="s">
        <v>3</v>
      </c>
    </row>
    <row r="251" spans="1:11" ht="16.2" thickBot="1" x14ac:dyDescent="0.35">
      <c r="A251" s="292">
        <v>1</v>
      </c>
      <c r="B251" s="134"/>
      <c r="C251" s="267"/>
      <c r="D251" s="281">
        <v>5578</v>
      </c>
      <c r="E251" s="281"/>
      <c r="F251" s="281"/>
      <c r="G251" s="281"/>
      <c r="H251" s="281"/>
      <c r="I251" s="281">
        <f>SUM(E251:H251)</f>
        <v>0</v>
      </c>
      <c r="J251" s="281">
        <f>D251-E251-F251-G251-H251</f>
        <v>5578</v>
      </c>
      <c r="K251" s="281"/>
    </row>
    <row r="252" spans="1:11" ht="16.2" thickBot="1" x14ac:dyDescent="0.35">
      <c r="A252" s="292">
        <v>2</v>
      </c>
      <c r="B252" s="317"/>
      <c r="C252" s="267"/>
      <c r="D252" s="281">
        <v>5578</v>
      </c>
      <c r="E252" s="281"/>
      <c r="F252" s="281"/>
      <c r="G252" s="281"/>
      <c r="H252" s="281"/>
      <c r="I252" s="281">
        <f t="shared" ref="I252" si="51">SUM(E252:H252)</f>
        <v>0</v>
      </c>
      <c r="J252" s="281">
        <f t="shared" ref="J252" si="52">D252-E252-F252-G252-H252</f>
        <v>5578</v>
      </c>
      <c r="K252" s="281"/>
    </row>
    <row r="253" spans="1:11" ht="15.6" x14ac:dyDescent="0.3">
      <c r="A253" s="141"/>
      <c r="B253" s="300"/>
      <c r="C253" s="141"/>
      <c r="D253" s="142"/>
      <c r="E253" s="142"/>
      <c r="F253" s="142"/>
      <c r="G253" s="142"/>
      <c r="H253" s="142"/>
      <c r="I253" s="142"/>
      <c r="J253" s="142"/>
      <c r="K253" s="142"/>
    </row>
    <row r="254" spans="1:11" ht="15.6" x14ac:dyDescent="0.3">
      <c r="A254" s="141"/>
      <c r="B254" s="300"/>
      <c r="C254" s="141"/>
      <c r="D254" s="142"/>
      <c r="E254" s="142"/>
      <c r="F254" s="142"/>
      <c r="G254" s="142"/>
      <c r="H254" s="142"/>
      <c r="I254" s="142"/>
      <c r="J254" s="142"/>
      <c r="K254" s="142"/>
    </row>
    <row r="255" spans="1:11" ht="15.6" x14ac:dyDescent="0.3">
      <c r="A255" s="141"/>
      <c r="B255" s="300"/>
      <c r="C255" s="141"/>
      <c r="D255" s="142"/>
      <c r="E255" s="142"/>
      <c r="F255" s="142"/>
      <c r="G255" s="142"/>
      <c r="H255" s="142"/>
      <c r="I255" s="142"/>
      <c r="J255" s="142"/>
      <c r="K255" s="142"/>
    </row>
    <row r="256" spans="1:11" ht="16.2" thickBot="1" x14ac:dyDescent="0.35">
      <c r="A256" s="362" t="s">
        <v>1235</v>
      </c>
      <c r="B256" s="309"/>
      <c r="C256" s="363"/>
      <c r="D256" s="363"/>
      <c r="E256" s="363"/>
      <c r="F256" s="363"/>
      <c r="G256" s="363"/>
      <c r="H256" s="363"/>
      <c r="I256" s="363"/>
      <c r="J256" s="363"/>
      <c r="K256" s="363"/>
    </row>
    <row r="257" spans="1:11" ht="27.6" thickBot="1" x14ac:dyDescent="0.35">
      <c r="A257" s="354" t="s">
        <v>0</v>
      </c>
      <c r="B257" s="295" t="s">
        <v>1</v>
      </c>
      <c r="C257" s="354" t="s">
        <v>2</v>
      </c>
      <c r="D257" s="355" t="s">
        <v>854</v>
      </c>
      <c r="E257" s="573" t="s">
        <v>855</v>
      </c>
      <c r="F257" s="574"/>
      <c r="G257" s="574"/>
      <c r="H257" s="575"/>
      <c r="I257" s="356"/>
      <c r="J257" s="357" t="s">
        <v>856</v>
      </c>
      <c r="K257" s="295" t="s">
        <v>3</v>
      </c>
    </row>
    <row r="258" spans="1:11" ht="16.2" thickBot="1" x14ac:dyDescent="0.35">
      <c r="A258" s="292">
        <v>1</v>
      </c>
      <c r="B258" s="134" t="s">
        <v>376</v>
      </c>
      <c r="C258" s="267">
        <v>2815</v>
      </c>
      <c r="D258" s="281">
        <v>3203</v>
      </c>
      <c r="E258" s="281"/>
      <c r="F258" s="281"/>
      <c r="G258" s="281"/>
      <c r="H258" s="281"/>
      <c r="I258" s="281">
        <f>SUM(E258:H258)</f>
        <v>0</v>
      </c>
      <c r="J258" s="281">
        <f>D258-E258-F258-G258-H258</f>
        <v>3203</v>
      </c>
      <c r="K258" s="281"/>
    </row>
    <row r="259" spans="1:11" ht="16.2" thickBot="1" x14ac:dyDescent="0.35">
      <c r="A259" s="292">
        <v>2</v>
      </c>
      <c r="B259" s="134" t="s">
        <v>887</v>
      </c>
      <c r="C259" s="267">
        <v>2813</v>
      </c>
      <c r="D259" s="281">
        <v>3203</v>
      </c>
      <c r="E259" s="281">
        <v>2000</v>
      </c>
      <c r="F259" s="281"/>
      <c r="G259" s="281"/>
      <c r="H259" s="281"/>
      <c r="I259" s="281">
        <f t="shared" ref="I259:I262" si="53">SUM(E259:H259)</f>
        <v>2000</v>
      </c>
      <c r="J259" s="281">
        <f t="shared" ref="J259:J262" si="54">D259-E259-F259-G259-H259</f>
        <v>1203</v>
      </c>
      <c r="K259" s="281"/>
    </row>
    <row r="260" spans="1:11" ht="16.2" thickBot="1" x14ac:dyDescent="0.35">
      <c r="A260" s="292">
        <v>3</v>
      </c>
      <c r="B260" s="134" t="s">
        <v>914</v>
      </c>
      <c r="C260" s="267">
        <v>2814</v>
      </c>
      <c r="D260" s="281">
        <v>3203</v>
      </c>
      <c r="E260" s="281">
        <v>2000</v>
      </c>
      <c r="F260" s="281"/>
      <c r="G260" s="281"/>
      <c r="H260" s="281"/>
      <c r="I260" s="281">
        <f t="shared" si="53"/>
        <v>2000</v>
      </c>
      <c r="J260" s="281">
        <f t="shared" si="54"/>
        <v>1203</v>
      </c>
      <c r="K260" s="281"/>
    </row>
    <row r="261" spans="1:11" ht="16.2" thickBot="1" x14ac:dyDescent="0.35">
      <c r="A261" s="292">
        <v>4</v>
      </c>
      <c r="B261" s="134" t="s">
        <v>921</v>
      </c>
      <c r="C261" s="267">
        <v>2801</v>
      </c>
      <c r="D261" s="281">
        <v>3203</v>
      </c>
      <c r="E261" s="281">
        <v>1952</v>
      </c>
      <c r="F261" s="281"/>
      <c r="G261" s="281"/>
      <c r="H261" s="281"/>
      <c r="I261" s="281">
        <f t="shared" si="53"/>
        <v>1952</v>
      </c>
      <c r="J261" s="281">
        <f t="shared" si="54"/>
        <v>1251</v>
      </c>
      <c r="K261" s="281" t="s">
        <v>1395</v>
      </c>
    </row>
    <row r="262" spans="1:11" ht="16.2" thickBot="1" x14ac:dyDescent="0.35">
      <c r="A262" s="292">
        <v>5</v>
      </c>
      <c r="B262" s="287" t="s">
        <v>975</v>
      </c>
      <c r="C262" s="364">
        <v>2817</v>
      </c>
      <c r="D262" s="281">
        <v>3203</v>
      </c>
      <c r="E262" s="284">
        <v>2000</v>
      </c>
      <c r="F262" s="284"/>
      <c r="G262" s="284"/>
      <c r="H262" s="284"/>
      <c r="I262" s="284">
        <f t="shared" si="53"/>
        <v>2000</v>
      </c>
      <c r="J262" s="284">
        <f t="shared" si="54"/>
        <v>1203</v>
      </c>
      <c r="K262" s="284"/>
    </row>
    <row r="263" spans="1:11" ht="15.6" x14ac:dyDescent="0.3">
      <c r="A263" s="145"/>
      <c r="B263" s="285"/>
      <c r="C263" s="365"/>
      <c r="D263" s="494">
        <f>SUM(D258:D262)</f>
        <v>16015</v>
      </c>
      <c r="E263" s="494">
        <f t="shared" ref="E263:J263" si="55">SUM(E258:E262)</f>
        <v>7952</v>
      </c>
      <c r="F263" s="494">
        <f t="shared" si="55"/>
        <v>0</v>
      </c>
      <c r="G263" s="494">
        <f t="shared" si="55"/>
        <v>0</v>
      </c>
      <c r="H263" s="494">
        <f t="shared" si="55"/>
        <v>0</v>
      </c>
      <c r="I263" s="494">
        <f t="shared" si="55"/>
        <v>7952</v>
      </c>
      <c r="J263" s="494">
        <f t="shared" si="55"/>
        <v>8063</v>
      </c>
      <c r="K263" s="147"/>
    </row>
    <row r="264" spans="1:11" ht="15.6" x14ac:dyDescent="0.3">
      <c r="A264" s="141"/>
      <c r="B264" s="286"/>
      <c r="C264" s="360"/>
      <c r="D264" s="142"/>
      <c r="E264" s="142"/>
      <c r="F264" s="142"/>
      <c r="G264" s="142"/>
      <c r="H264" s="142"/>
      <c r="I264" s="142"/>
      <c r="J264" s="142"/>
      <c r="K264" s="142"/>
    </row>
    <row r="265" spans="1:11" ht="15.6" x14ac:dyDescent="0.3">
      <c r="A265" s="361"/>
      <c r="B265" s="390"/>
      <c r="C265" s="371"/>
      <c r="D265" s="279"/>
      <c r="E265" s="279"/>
      <c r="F265" s="279"/>
      <c r="G265" s="279"/>
      <c r="H265" s="279"/>
      <c r="I265" s="279"/>
      <c r="J265" s="279"/>
      <c r="K265" s="279"/>
    </row>
    <row r="266" spans="1:11" ht="16.2" thickBot="1" x14ac:dyDescent="0.35">
      <c r="A266" s="362" t="s">
        <v>1236</v>
      </c>
      <c r="B266" s="309"/>
      <c r="C266" s="363"/>
      <c r="D266" s="363"/>
      <c r="E266" s="363"/>
      <c r="F266" s="363"/>
      <c r="G266" s="363"/>
      <c r="H266" s="363"/>
      <c r="I266" s="363"/>
      <c r="J266" s="363"/>
      <c r="K266" s="363"/>
    </row>
    <row r="267" spans="1:11" ht="27.6" thickBot="1" x14ac:dyDescent="0.35">
      <c r="A267" s="354" t="s">
        <v>0</v>
      </c>
      <c r="B267" s="295" t="s">
        <v>1</v>
      </c>
      <c r="C267" s="354" t="s">
        <v>2</v>
      </c>
      <c r="D267" s="355" t="s">
        <v>854</v>
      </c>
      <c r="E267" s="573" t="s">
        <v>855</v>
      </c>
      <c r="F267" s="574"/>
      <c r="G267" s="574"/>
      <c r="H267" s="575"/>
      <c r="I267" s="356"/>
      <c r="J267" s="357" t="s">
        <v>856</v>
      </c>
      <c r="K267" s="295" t="s">
        <v>3</v>
      </c>
    </row>
    <row r="268" spans="1:11" ht="15.6" x14ac:dyDescent="0.3">
      <c r="A268" s="316">
        <v>1</v>
      </c>
      <c r="B268" s="287" t="s">
        <v>919</v>
      </c>
      <c r="C268" s="364">
        <v>1934</v>
      </c>
      <c r="D268" s="284">
        <v>2744</v>
      </c>
      <c r="E268" s="284">
        <v>1700</v>
      </c>
      <c r="F268" s="284"/>
      <c r="G268" s="284"/>
      <c r="H268" s="284"/>
      <c r="I268" s="284">
        <f>SUM(E268:H268)</f>
        <v>1700</v>
      </c>
      <c r="J268" s="284">
        <f>D268-E268-F268-G268-H268</f>
        <v>1044</v>
      </c>
      <c r="K268" s="284" t="s">
        <v>1395</v>
      </c>
    </row>
    <row r="269" spans="1:11" ht="15.6" x14ac:dyDescent="0.3">
      <c r="A269" s="145"/>
      <c r="B269" s="146"/>
      <c r="C269" s="365"/>
      <c r="D269" s="147"/>
      <c r="E269" s="147"/>
      <c r="F269" s="147"/>
      <c r="G269" s="147"/>
      <c r="H269" s="147"/>
      <c r="I269" s="147"/>
      <c r="J269" s="147"/>
      <c r="K269" s="147"/>
    </row>
    <row r="270" spans="1:11" ht="15.6" x14ac:dyDescent="0.3">
      <c r="A270" s="141"/>
      <c r="B270" s="300"/>
      <c r="C270" s="141"/>
      <c r="D270" s="142"/>
      <c r="E270" s="142"/>
      <c r="F270" s="142"/>
      <c r="G270" s="142"/>
      <c r="H270" s="142"/>
      <c r="I270" s="142"/>
      <c r="J270" s="142"/>
      <c r="K270" s="142"/>
    </row>
    <row r="271" spans="1:11" x14ac:dyDescent="0.3">
      <c r="A271" s="280"/>
      <c r="B271" s="280"/>
      <c r="C271" s="280"/>
      <c r="D271" s="280"/>
      <c r="E271" s="280"/>
      <c r="F271" s="280"/>
      <c r="G271" s="280"/>
      <c r="H271" s="280"/>
      <c r="I271" s="280"/>
      <c r="J271" s="280"/>
      <c r="K271" s="280"/>
    </row>
    <row r="272" spans="1:11" ht="16.2" thickBot="1" x14ac:dyDescent="0.35">
      <c r="A272" s="362" t="s">
        <v>1237</v>
      </c>
      <c r="B272" s="309"/>
      <c r="C272" s="363"/>
      <c r="D272" s="363"/>
      <c r="E272" s="363"/>
      <c r="F272" s="363"/>
      <c r="G272" s="363"/>
      <c r="H272" s="363"/>
      <c r="I272" s="363"/>
      <c r="J272" s="363"/>
      <c r="K272" s="363"/>
    </row>
    <row r="273" spans="1:12" ht="27.6" thickBot="1" x14ac:dyDescent="0.35">
      <c r="A273" s="354" t="s">
        <v>0</v>
      </c>
      <c r="B273" s="295" t="s">
        <v>1</v>
      </c>
      <c r="C273" s="354" t="s">
        <v>2</v>
      </c>
      <c r="D273" s="355" t="s">
        <v>854</v>
      </c>
      <c r="E273" s="573" t="s">
        <v>855</v>
      </c>
      <c r="F273" s="574"/>
      <c r="G273" s="574"/>
      <c r="H273" s="575"/>
      <c r="I273" s="356"/>
      <c r="J273" s="357" t="s">
        <v>856</v>
      </c>
      <c r="K273" s="295" t="s">
        <v>3</v>
      </c>
    </row>
    <row r="274" spans="1:12" ht="15.6" x14ac:dyDescent="0.3">
      <c r="A274" s="316">
        <v>1</v>
      </c>
      <c r="B274" s="135"/>
      <c r="C274" s="316"/>
      <c r="D274" s="284">
        <v>5243</v>
      </c>
      <c r="E274" s="284"/>
      <c r="F274" s="284"/>
      <c r="G274" s="284"/>
      <c r="H274" s="284"/>
      <c r="I274" s="284">
        <f>SUM(E274:H274)</f>
        <v>0</v>
      </c>
      <c r="J274" s="284">
        <f>D274-E274-F274-G274-H274</f>
        <v>5243</v>
      </c>
      <c r="K274" s="284"/>
    </row>
    <row r="275" spans="1:12" x14ac:dyDescent="0.3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</row>
    <row r="276" spans="1:12" x14ac:dyDescent="0.3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</row>
    <row r="277" spans="1:12" x14ac:dyDescent="0.3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</row>
    <row r="278" spans="1:12" ht="16.2" thickBot="1" x14ac:dyDescent="0.35">
      <c r="A278" s="362" t="s">
        <v>1238</v>
      </c>
      <c r="B278" s="309"/>
      <c r="C278" s="363"/>
      <c r="D278" s="363"/>
      <c r="E278" s="363"/>
      <c r="F278" s="363"/>
      <c r="G278" s="363"/>
      <c r="H278" s="363"/>
      <c r="I278" s="363"/>
      <c r="J278" s="363"/>
      <c r="K278" s="363"/>
    </row>
    <row r="279" spans="1:12" ht="27.6" thickBot="1" x14ac:dyDescent="0.35">
      <c r="A279" s="354" t="s">
        <v>0</v>
      </c>
      <c r="B279" s="295" t="s">
        <v>1</v>
      </c>
      <c r="C279" s="354" t="s">
        <v>2</v>
      </c>
      <c r="D279" s="355" t="s">
        <v>854</v>
      </c>
      <c r="E279" s="573" t="s">
        <v>855</v>
      </c>
      <c r="F279" s="574"/>
      <c r="G279" s="574"/>
      <c r="H279" s="575"/>
      <c r="I279" s="356"/>
      <c r="J279" s="357" t="s">
        <v>856</v>
      </c>
      <c r="K279" s="295" t="s">
        <v>3</v>
      </c>
    </row>
    <row r="280" spans="1:12" ht="15.6" x14ac:dyDescent="0.3">
      <c r="A280" s="316">
        <v>1</v>
      </c>
      <c r="B280" s="135" t="s">
        <v>931</v>
      </c>
      <c r="C280" s="316">
        <v>1938</v>
      </c>
      <c r="D280" s="284">
        <v>2744</v>
      </c>
      <c r="E280" s="284"/>
      <c r="F280" s="284"/>
      <c r="G280" s="284"/>
      <c r="H280" s="284"/>
      <c r="I280" s="284">
        <f>SUM(E280:H280)</f>
        <v>0</v>
      </c>
      <c r="J280" s="284">
        <f>D280-E280-F280-G280-H280</f>
        <v>2744</v>
      </c>
      <c r="K280" s="284"/>
      <c r="L280" s="294" t="s">
        <v>1725</v>
      </c>
    </row>
    <row r="281" spans="1:12" ht="15.6" x14ac:dyDescent="0.3">
      <c r="A281" s="145"/>
      <c r="B281" s="146"/>
      <c r="C281" s="145"/>
      <c r="D281" s="147"/>
      <c r="E281" s="147"/>
      <c r="F281" s="147"/>
      <c r="G281" s="147"/>
      <c r="H281" s="147"/>
      <c r="I281" s="147"/>
      <c r="J281" s="147"/>
      <c r="K281" s="147"/>
    </row>
    <row r="282" spans="1:12" ht="15.6" x14ac:dyDescent="0.3">
      <c r="A282" s="141"/>
      <c r="B282" s="286"/>
      <c r="C282" s="360"/>
      <c r="D282" s="142"/>
      <c r="E282" s="142"/>
      <c r="F282" s="142"/>
      <c r="G282" s="142"/>
      <c r="H282" s="142"/>
      <c r="I282" s="142"/>
      <c r="J282" s="142"/>
      <c r="K282" s="142"/>
    </row>
    <row r="283" spans="1:12" ht="15.6" x14ac:dyDescent="0.3">
      <c r="A283" s="361"/>
      <c r="B283" s="303"/>
      <c r="C283" s="361"/>
      <c r="D283" s="279"/>
      <c r="E283" s="279"/>
      <c r="F283" s="279"/>
      <c r="G283" s="279"/>
      <c r="H283" s="279"/>
      <c r="I283" s="279"/>
      <c r="J283" s="279"/>
      <c r="K283" s="279"/>
    </row>
    <row r="284" spans="1:12" ht="16.2" thickBot="1" x14ac:dyDescent="0.35">
      <c r="A284" s="362" t="s">
        <v>377</v>
      </c>
      <c r="B284" s="309"/>
      <c r="C284" s="141"/>
      <c r="D284" s="142"/>
      <c r="E284" s="142"/>
      <c r="F284" s="142"/>
      <c r="G284" s="142"/>
      <c r="H284" s="142"/>
      <c r="I284" s="142"/>
      <c r="J284" s="142"/>
      <c r="K284" s="142"/>
    </row>
    <row r="285" spans="1:12" ht="40.799999999999997" thickBot="1" x14ac:dyDescent="0.35">
      <c r="A285" s="381" t="s">
        <v>0</v>
      </c>
      <c r="B285" s="318" t="s">
        <v>1</v>
      </c>
      <c r="C285" s="381" t="s">
        <v>2</v>
      </c>
      <c r="D285" s="382" t="s">
        <v>854</v>
      </c>
      <c r="E285" s="576" t="s">
        <v>855</v>
      </c>
      <c r="F285" s="577"/>
      <c r="G285" s="577"/>
      <c r="H285" s="578"/>
      <c r="I285" s="391" t="s">
        <v>1353</v>
      </c>
      <c r="J285" s="384" t="s">
        <v>856</v>
      </c>
      <c r="K285" s="318" t="s">
        <v>3</v>
      </c>
    </row>
    <row r="286" spans="1:12" ht="16.2" thickBot="1" x14ac:dyDescent="0.35">
      <c r="A286" s="273">
        <v>1</v>
      </c>
      <c r="B286" s="275" t="s">
        <v>1474</v>
      </c>
      <c r="C286" s="273"/>
      <c r="D286" s="281">
        <v>6672</v>
      </c>
      <c r="E286" s="271">
        <v>2040</v>
      </c>
      <c r="F286" s="271">
        <v>2000</v>
      </c>
      <c r="G286" s="271"/>
      <c r="H286" s="271"/>
      <c r="I286" s="271">
        <f t="shared" ref="I286:I296" si="56">E286+F286+G286+H286</f>
        <v>4040</v>
      </c>
      <c r="J286" s="271">
        <f>D286-I286</f>
        <v>2632</v>
      </c>
      <c r="K286" s="271" t="s">
        <v>1395</v>
      </c>
    </row>
    <row r="287" spans="1:12" ht="16.2" thickBot="1" x14ac:dyDescent="0.35">
      <c r="A287" s="273">
        <v>2</v>
      </c>
      <c r="B287" s="275" t="s">
        <v>1514</v>
      </c>
      <c r="C287" s="273"/>
      <c r="D287" s="281">
        <v>6672</v>
      </c>
      <c r="E287" s="271">
        <v>2040</v>
      </c>
      <c r="F287" s="271">
        <v>1500</v>
      </c>
      <c r="G287" s="271"/>
      <c r="H287" s="271"/>
      <c r="I287" s="271">
        <f t="shared" si="56"/>
        <v>3540</v>
      </c>
      <c r="J287" s="271">
        <f>D287-I287</f>
        <v>3132</v>
      </c>
      <c r="K287" s="271" t="s">
        <v>1395</v>
      </c>
    </row>
    <row r="288" spans="1:12" ht="16.2" thickBot="1" x14ac:dyDescent="0.35">
      <c r="A288" s="273">
        <v>3</v>
      </c>
      <c r="B288" s="275" t="s">
        <v>1352</v>
      </c>
      <c r="C288" s="273"/>
      <c r="D288" s="281">
        <v>6672</v>
      </c>
      <c r="E288" s="271">
        <v>2040</v>
      </c>
      <c r="F288" s="271">
        <v>2000</v>
      </c>
      <c r="G288" s="271"/>
      <c r="H288" s="271"/>
      <c r="I288" s="271">
        <f t="shared" si="56"/>
        <v>4040</v>
      </c>
      <c r="J288" s="271">
        <f>D288-I288</f>
        <v>2632</v>
      </c>
      <c r="K288" s="271" t="s">
        <v>1395</v>
      </c>
    </row>
    <row r="289" spans="1:12" ht="16.2" thickBot="1" x14ac:dyDescent="0.35">
      <c r="A289" s="273">
        <v>4</v>
      </c>
      <c r="B289" s="275" t="s">
        <v>1459</v>
      </c>
      <c r="C289" s="273"/>
      <c r="D289" s="281">
        <v>6672</v>
      </c>
      <c r="E289" s="271">
        <v>2040</v>
      </c>
      <c r="F289" s="271">
        <v>2000</v>
      </c>
      <c r="G289" s="271"/>
      <c r="H289" s="271"/>
      <c r="I289" s="271">
        <f t="shared" si="56"/>
        <v>4040</v>
      </c>
      <c r="J289" s="271">
        <f>D289-I289</f>
        <v>2632</v>
      </c>
      <c r="K289" s="271" t="s">
        <v>1395</v>
      </c>
    </row>
    <row r="290" spans="1:12" ht="16.2" thickBot="1" x14ac:dyDescent="0.35">
      <c r="A290" s="273">
        <v>5</v>
      </c>
      <c r="B290" s="275" t="s">
        <v>1712</v>
      </c>
      <c r="C290" s="273"/>
      <c r="D290" s="281">
        <v>6672</v>
      </c>
      <c r="E290" s="271">
        <v>2040</v>
      </c>
      <c r="F290" s="271">
        <v>2000</v>
      </c>
      <c r="G290" s="271"/>
      <c r="H290" s="271"/>
      <c r="I290" s="271">
        <f t="shared" si="56"/>
        <v>4040</v>
      </c>
      <c r="J290" s="271">
        <f>D290-I290</f>
        <v>2632</v>
      </c>
      <c r="K290" s="271" t="s">
        <v>1395</v>
      </c>
    </row>
    <row r="291" spans="1:12" ht="16.2" thickBot="1" x14ac:dyDescent="0.35">
      <c r="A291" s="273">
        <v>6</v>
      </c>
      <c r="B291" s="275" t="s">
        <v>1619</v>
      </c>
      <c r="C291" s="273"/>
      <c r="D291" s="281">
        <v>6672</v>
      </c>
      <c r="E291" s="271">
        <v>4632</v>
      </c>
      <c r="F291" s="271">
        <v>2040</v>
      </c>
      <c r="G291" s="271"/>
      <c r="H291" s="271"/>
      <c r="I291" s="271">
        <f t="shared" si="56"/>
        <v>6672</v>
      </c>
      <c r="J291" s="271">
        <f t="shared" ref="J291:J293" si="57">D291-I291</f>
        <v>0</v>
      </c>
      <c r="K291" s="271" t="s">
        <v>1395</v>
      </c>
    </row>
    <row r="292" spans="1:12" ht="16.2" thickBot="1" x14ac:dyDescent="0.35">
      <c r="A292" s="273">
        <v>7</v>
      </c>
      <c r="B292" s="275" t="s">
        <v>1431</v>
      </c>
      <c r="C292" s="273"/>
      <c r="D292" s="281">
        <v>6672</v>
      </c>
      <c r="E292" s="271">
        <v>2040</v>
      </c>
      <c r="F292" s="271">
        <v>4632</v>
      </c>
      <c r="G292" s="271"/>
      <c r="H292" s="271"/>
      <c r="I292" s="271">
        <f t="shared" si="56"/>
        <v>6672</v>
      </c>
      <c r="J292" s="271">
        <f t="shared" si="57"/>
        <v>0</v>
      </c>
      <c r="K292" s="271" t="s">
        <v>1395</v>
      </c>
    </row>
    <row r="293" spans="1:12" ht="16.2" thickBot="1" x14ac:dyDescent="0.35">
      <c r="A293" s="273">
        <v>8</v>
      </c>
      <c r="B293" s="275" t="s">
        <v>1477</v>
      </c>
      <c r="C293" s="273"/>
      <c r="D293" s="281">
        <v>6672</v>
      </c>
      <c r="E293" s="271">
        <v>2040</v>
      </c>
      <c r="F293" s="271"/>
      <c r="G293" s="271"/>
      <c r="H293" s="271"/>
      <c r="I293" s="271">
        <f t="shared" si="56"/>
        <v>2040</v>
      </c>
      <c r="J293" s="271">
        <f t="shared" si="57"/>
        <v>4632</v>
      </c>
      <c r="K293" s="271"/>
    </row>
    <row r="294" spans="1:12" ht="16.2" thickBot="1" x14ac:dyDescent="0.35">
      <c r="A294" s="273">
        <v>9</v>
      </c>
      <c r="B294" s="275" t="s">
        <v>1399</v>
      </c>
      <c r="C294" s="276"/>
      <c r="D294" s="281">
        <v>6672</v>
      </c>
      <c r="E294" s="271">
        <v>2040</v>
      </c>
      <c r="F294" s="271">
        <v>2000</v>
      </c>
      <c r="G294" s="271">
        <v>2632</v>
      </c>
      <c r="H294" s="271"/>
      <c r="I294" s="271">
        <f t="shared" si="56"/>
        <v>6672</v>
      </c>
      <c r="J294" s="271">
        <f>D294-I294</f>
        <v>0</v>
      </c>
      <c r="K294" s="271" t="s">
        <v>1723</v>
      </c>
      <c r="L294" s="294" t="s">
        <v>1760</v>
      </c>
    </row>
    <row r="295" spans="1:12" ht="16.2" thickBot="1" x14ac:dyDescent="0.35">
      <c r="A295" s="273">
        <v>10</v>
      </c>
      <c r="B295" s="275" t="s">
        <v>1438</v>
      </c>
      <c r="C295" s="273"/>
      <c r="D295" s="281">
        <v>6672</v>
      </c>
      <c r="E295" s="271">
        <v>2040</v>
      </c>
      <c r="F295" s="271">
        <v>1250</v>
      </c>
      <c r="G295" s="271">
        <v>250</v>
      </c>
      <c r="H295" s="271"/>
      <c r="I295" s="271">
        <f t="shared" si="56"/>
        <v>3540</v>
      </c>
      <c r="J295" s="271">
        <f>D295-I295</f>
        <v>3132</v>
      </c>
      <c r="K295" s="271"/>
    </row>
    <row r="296" spans="1:12" ht="16.2" thickBot="1" x14ac:dyDescent="0.35">
      <c r="A296" s="273">
        <v>11</v>
      </c>
      <c r="B296" s="275" t="s">
        <v>1427</v>
      </c>
      <c r="C296" s="273"/>
      <c r="D296" s="281">
        <v>6672</v>
      </c>
      <c r="E296" s="271">
        <v>2040</v>
      </c>
      <c r="F296" s="271">
        <v>3000</v>
      </c>
      <c r="G296" s="271"/>
      <c r="H296" s="271"/>
      <c r="I296" s="271">
        <f t="shared" si="56"/>
        <v>5040</v>
      </c>
      <c r="J296" s="271">
        <f>D296-I296</f>
        <v>1632</v>
      </c>
      <c r="K296" s="281" t="s">
        <v>1395</v>
      </c>
    </row>
    <row r="297" spans="1:12" ht="16.2" thickBot="1" x14ac:dyDescent="0.35">
      <c r="A297" s="273">
        <v>12</v>
      </c>
      <c r="B297" s="275" t="s">
        <v>1585</v>
      </c>
      <c r="C297" s="273"/>
      <c r="D297" s="281">
        <v>6672</v>
      </c>
      <c r="E297" s="271">
        <v>3538</v>
      </c>
      <c r="F297" s="271"/>
      <c r="G297" s="271"/>
      <c r="H297" s="271"/>
      <c r="I297" s="271"/>
      <c r="J297" s="271">
        <f t="shared" ref="J297:J300" si="58">D297-I297</f>
        <v>6672</v>
      </c>
      <c r="K297" s="271" t="s">
        <v>1395</v>
      </c>
    </row>
    <row r="298" spans="1:12" ht="16.2" thickBot="1" x14ac:dyDescent="0.35">
      <c r="A298" s="273">
        <v>13</v>
      </c>
      <c r="B298" s="275" t="s">
        <v>1426</v>
      </c>
      <c r="C298" s="273"/>
      <c r="D298" s="281">
        <v>6672</v>
      </c>
      <c r="E298" s="271">
        <v>2040</v>
      </c>
      <c r="F298" s="271">
        <v>4632</v>
      </c>
      <c r="G298" s="271"/>
      <c r="H298" s="271"/>
      <c r="I298" s="271">
        <f t="shared" ref="I298:I305" si="59">E298+F298+G298+H298</f>
        <v>6672</v>
      </c>
      <c r="J298" s="271">
        <f t="shared" si="58"/>
        <v>0</v>
      </c>
      <c r="K298" s="271" t="s">
        <v>1395</v>
      </c>
    </row>
    <row r="299" spans="1:12" ht="16.2" thickBot="1" x14ac:dyDescent="0.35">
      <c r="A299" s="273">
        <v>14</v>
      </c>
      <c r="B299" s="275" t="s">
        <v>1440</v>
      </c>
      <c r="C299" s="273"/>
      <c r="D299" s="281">
        <v>6672</v>
      </c>
      <c r="E299" s="271">
        <v>2040</v>
      </c>
      <c r="F299" s="271">
        <v>2000</v>
      </c>
      <c r="G299" s="271"/>
      <c r="H299" s="271"/>
      <c r="I299" s="271">
        <f t="shared" si="59"/>
        <v>4040</v>
      </c>
      <c r="J299" s="271">
        <f t="shared" si="58"/>
        <v>2632</v>
      </c>
      <c r="K299" s="6" t="s">
        <v>1395</v>
      </c>
    </row>
    <row r="300" spans="1:12" ht="16.2" thickBot="1" x14ac:dyDescent="0.35">
      <c r="A300" s="273">
        <v>15</v>
      </c>
      <c r="B300" s="275" t="s">
        <v>1572</v>
      </c>
      <c r="C300" s="273"/>
      <c r="D300" s="281">
        <v>6622</v>
      </c>
      <c r="E300" s="271">
        <v>1990</v>
      </c>
      <c r="F300" s="271">
        <v>2000</v>
      </c>
      <c r="G300" s="271"/>
      <c r="H300" s="271"/>
      <c r="I300" s="271">
        <f t="shared" si="59"/>
        <v>3990</v>
      </c>
      <c r="J300" s="271">
        <f t="shared" si="58"/>
        <v>2632</v>
      </c>
      <c r="K300" s="271" t="s">
        <v>1395</v>
      </c>
    </row>
    <row r="301" spans="1:12" ht="16.2" thickBot="1" x14ac:dyDescent="0.35">
      <c r="A301" s="273">
        <v>16</v>
      </c>
      <c r="B301" s="409" t="s">
        <v>1476</v>
      </c>
      <c r="C301" s="415"/>
      <c r="D301" s="284">
        <v>6672</v>
      </c>
      <c r="E301" s="379">
        <v>2040</v>
      </c>
      <c r="F301" s="379">
        <v>2000</v>
      </c>
      <c r="G301" s="379"/>
      <c r="H301" s="379"/>
      <c r="I301" s="379">
        <f t="shared" si="59"/>
        <v>4040</v>
      </c>
      <c r="J301" s="379">
        <f>D301-I301</f>
        <v>2632</v>
      </c>
      <c r="K301" s="6" t="s">
        <v>1395</v>
      </c>
    </row>
    <row r="302" spans="1:12" ht="15.6" x14ac:dyDescent="0.3">
      <c r="A302" s="273">
        <v>17</v>
      </c>
      <c r="B302" s="275" t="s">
        <v>1475</v>
      </c>
      <c r="C302" s="273"/>
      <c r="D302" s="271">
        <v>6672</v>
      </c>
      <c r="E302" s="271">
        <v>2040</v>
      </c>
      <c r="F302" s="271"/>
      <c r="G302" s="271"/>
      <c r="H302" s="271"/>
      <c r="I302" s="271">
        <f t="shared" si="59"/>
        <v>2040</v>
      </c>
      <c r="J302" s="271">
        <f>D302-I302</f>
        <v>4632</v>
      </c>
      <c r="K302" s="271"/>
    </row>
    <row r="303" spans="1:12" ht="16.2" thickBot="1" x14ac:dyDescent="0.35">
      <c r="A303" s="273">
        <v>18</v>
      </c>
      <c r="B303" s="275" t="s">
        <v>1454</v>
      </c>
      <c r="C303" s="273"/>
      <c r="D303" s="271">
        <v>6672</v>
      </c>
      <c r="E303" s="271">
        <v>2000</v>
      </c>
      <c r="F303" s="271">
        <v>2900</v>
      </c>
      <c r="G303" s="271"/>
      <c r="H303" s="271"/>
      <c r="I303" s="271">
        <f t="shared" si="59"/>
        <v>4900</v>
      </c>
      <c r="J303" s="271">
        <f>D303-I303</f>
        <v>1772</v>
      </c>
      <c r="K303" s="271" t="s">
        <v>1395</v>
      </c>
    </row>
    <row r="304" spans="1:12" ht="16.2" thickBot="1" x14ac:dyDescent="0.35">
      <c r="A304" s="273">
        <v>19</v>
      </c>
      <c r="B304" s="275" t="s">
        <v>1437</v>
      </c>
      <c r="C304" s="273"/>
      <c r="D304" s="271">
        <v>6672</v>
      </c>
      <c r="E304" s="271">
        <v>2040</v>
      </c>
      <c r="F304" s="271">
        <v>2000</v>
      </c>
      <c r="G304" s="271"/>
      <c r="H304" s="271"/>
      <c r="I304" s="271">
        <f t="shared" si="59"/>
        <v>4040</v>
      </c>
      <c r="J304" s="271">
        <f>D304-I304</f>
        <v>2632</v>
      </c>
      <c r="K304" s="6" t="s">
        <v>1395</v>
      </c>
    </row>
    <row r="305" spans="1:11" ht="16.2" thickBot="1" x14ac:dyDescent="0.35">
      <c r="A305" s="273">
        <v>20</v>
      </c>
      <c r="B305" s="275" t="s">
        <v>1410</v>
      </c>
      <c r="C305" s="273"/>
      <c r="D305" s="379">
        <v>6672</v>
      </c>
      <c r="E305" s="379">
        <v>2040</v>
      </c>
      <c r="F305" s="379"/>
      <c r="G305" s="379"/>
      <c r="H305" s="379"/>
      <c r="I305" s="379">
        <f t="shared" si="59"/>
        <v>2040</v>
      </c>
      <c r="J305" s="379">
        <f>D305-I305</f>
        <v>4632</v>
      </c>
      <c r="K305" s="271"/>
    </row>
    <row r="306" spans="1:11" ht="16.2" thickBot="1" x14ac:dyDescent="0.35">
      <c r="A306" s="141"/>
      <c r="B306" s="300"/>
      <c r="C306" s="141"/>
      <c r="D306" s="516">
        <f>SUM(D286:D305)</f>
        <v>133390</v>
      </c>
      <c r="E306" s="517">
        <f t="shared" ref="E306:J306" si="60">SUM(E286:E305)</f>
        <v>44800</v>
      </c>
      <c r="F306" s="517">
        <f t="shared" si="60"/>
        <v>37954</v>
      </c>
      <c r="G306" s="517">
        <f t="shared" si="60"/>
        <v>2882</v>
      </c>
      <c r="H306" s="517">
        <f t="shared" si="60"/>
        <v>0</v>
      </c>
      <c r="I306" s="517">
        <f t="shared" si="60"/>
        <v>82098</v>
      </c>
      <c r="J306" s="518">
        <f t="shared" si="60"/>
        <v>51292</v>
      </c>
      <c r="K306" s="142"/>
    </row>
    <row r="307" spans="1:11" ht="15.6" x14ac:dyDescent="0.3">
      <c r="A307" s="141"/>
      <c r="B307" s="300"/>
      <c r="C307" s="141"/>
      <c r="D307" s="142"/>
      <c r="E307" s="142"/>
      <c r="F307" s="142"/>
      <c r="G307" s="142"/>
      <c r="H307" s="142"/>
      <c r="I307" s="142"/>
      <c r="J307" s="142"/>
      <c r="K307" s="142"/>
    </row>
    <row r="308" spans="1:11" ht="16.2" thickBot="1" x14ac:dyDescent="0.35">
      <c r="A308" s="141"/>
      <c r="B308" s="300"/>
      <c r="C308" s="141"/>
      <c r="D308" s="142"/>
      <c r="E308" s="142"/>
      <c r="F308" s="142"/>
      <c r="G308" s="142"/>
      <c r="H308" s="142"/>
      <c r="I308" s="142"/>
      <c r="J308" s="142"/>
      <c r="K308" s="142"/>
    </row>
    <row r="309" spans="1:11" ht="16.2" thickBot="1" x14ac:dyDescent="0.35">
      <c r="A309" s="353" t="s">
        <v>1239</v>
      </c>
      <c r="B309" s="112"/>
      <c r="C309" s="281"/>
      <c r="D309" s="281"/>
      <c r="E309" s="281"/>
      <c r="F309" s="281"/>
      <c r="G309" s="281"/>
      <c r="H309" s="281"/>
      <c r="I309" s="281"/>
      <c r="J309" s="281"/>
      <c r="K309" s="281"/>
    </row>
    <row r="310" spans="1:11" ht="27.6" thickBot="1" x14ac:dyDescent="0.35">
      <c r="A310" s="354" t="s">
        <v>0</v>
      </c>
      <c r="B310" s="295" t="s">
        <v>1</v>
      </c>
      <c r="C310" s="354" t="s">
        <v>2</v>
      </c>
      <c r="D310" s="355" t="s">
        <v>854</v>
      </c>
      <c r="E310" s="573" t="s">
        <v>855</v>
      </c>
      <c r="F310" s="574"/>
      <c r="G310" s="574"/>
      <c r="H310" s="575"/>
      <c r="I310" s="356"/>
      <c r="J310" s="357" t="s">
        <v>856</v>
      </c>
      <c r="K310" s="295" t="s">
        <v>3</v>
      </c>
    </row>
    <row r="311" spans="1:11" ht="16.2" thickBot="1" x14ac:dyDescent="0.35">
      <c r="A311" s="292">
        <v>1</v>
      </c>
      <c r="B311" s="133" t="s">
        <v>386</v>
      </c>
      <c r="C311" s="292"/>
      <c r="D311" s="281">
        <v>3538</v>
      </c>
      <c r="E311" s="281">
        <v>1000</v>
      </c>
      <c r="F311" s="281"/>
      <c r="G311" s="281"/>
      <c r="H311" s="281"/>
      <c r="I311" s="281">
        <f>SUM(E311:H311)</f>
        <v>1000</v>
      </c>
      <c r="J311" s="281">
        <f>D311-E311-F311-G311-H311</f>
        <v>2538</v>
      </c>
      <c r="K311" s="281"/>
    </row>
    <row r="312" spans="1:11" ht="16.2" thickBot="1" x14ac:dyDescent="0.35">
      <c r="A312" s="292">
        <v>2</v>
      </c>
      <c r="B312" s="112" t="s">
        <v>806</v>
      </c>
      <c r="C312" s="267"/>
      <c r="D312" s="281">
        <v>3538</v>
      </c>
      <c r="E312" s="281">
        <v>3538</v>
      </c>
      <c r="F312" s="281"/>
      <c r="G312" s="281"/>
      <c r="H312" s="281"/>
      <c r="I312" s="281">
        <f t="shared" ref="I312:I331" si="61">SUM(E312:H312)</f>
        <v>3538</v>
      </c>
      <c r="J312" s="281">
        <f t="shared" ref="J312:J313" si="62">D312-E312-F312-G312-H312</f>
        <v>0</v>
      </c>
      <c r="K312" s="281" t="s">
        <v>1723</v>
      </c>
    </row>
    <row r="313" spans="1:11" ht="16.2" thickBot="1" x14ac:dyDescent="0.35">
      <c r="A313" s="292">
        <v>3</v>
      </c>
      <c r="B313" s="112" t="s">
        <v>807</v>
      </c>
      <c r="C313" s="292"/>
      <c r="D313" s="281">
        <v>3538</v>
      </c>
      <c r="E313" s="281">
        <v>1500</v>
      </c>
      <c r="F313" s="281">
        <v>1000</v>
      </c>
      <c r="G313" s="281"/>
      <c r="H313" s="281"/>
      <c r="I313" s="281">
        <f t="shared" si="61"/>
        <v>2500</v>
      </c>
      <c r="J313" s="281">
        <f t="shared" si="62"/>
        <v>1038</v>
      </c>
      <c r="K313" s="281" t="s">
        <v>1395</v>
      </c>
    </row>
    <row r="314" spans="1:11" ht="16.2" thickBot="1" x14ac:dyDescent="0.35">
      <c r="A314" s="292">
        <v>4</v>
      </c>
      <c r="B314" s="112" t="s">
        <v>385</v>
      </c>
      <c r="C314" s="292">
        <v>2798</v>
      </c>
      <c r="D314" s="281">
        <v>3538</v>
      </c>
      <c r="E314" s="281"/>
      <c r="F314" s="281"/>
      <c r="G314" s="281"/>
      <c r="H314" s="281"/>
      <c r="I314" s="281">
        <f t="shared" si="61"/>
        <v>0</v>
      </c>
      <c r="J314" s="281">
        <f t="shared" ref="J314:J331" si="63">D314-E314-F314-G314-H314</f>
        <v>3538</v>
      </c>
      <c r="K314" s="281"/>
    </row>
    <row r="315" spans="1:11" ht="16.2" thickBot="1" x14ac:dyDescent="0.35">
      <c r="A315" s="292">
        <v>5</v>
      </c>
      <c r="B315" s="112" t="s">
        <v>380</v>
      </c>
      <c r="C315" s="292">
        <v>2799</v>
      </c>
      <c r="D315" s="281">
        <v>3538</v>
      </c>
      <c r="E315" s="281">
        <v>1500</v>
      </c>
      <c r="F315" s="281"/>
      <c r="G315" s="281"/>
      <c r="H315" s="281"/>
      <c r="I315" s="281">
        <f t="shared" si="61"/>
        <v>1500</v>
      </c>
      <c r="J315" s="281">
        <f t="shared" si="63"/>
        <v>2038</v>
      </c>
      <c r="K315" s="281" t="s">
        <v>1395</v>
      </c>
    </row>
    <row r="316" spans="1:11" ht="16.2" thickBot="1" x14ac:dyDescent="0.35">
      <c r="A316" s="292">
        <v>6</v>
      </c>
      <c r="B316" s="112" t="s">
        <v>843</v>
      </c>
      <c r="C316" s="292">
        <v>3225</v>
      </c>
      <c r="D316" s="281">
        <v>3538</v>
      </c>
      <c r="E316" s="281">
        <v>2123</v>
      </c>
      <c r="F316" s="281">
        <v>1415</v>
      </c>
      <c r="G316" s="281"/>
      <c r="H316" s="281"/>
      <c r="I316" s="281">
        <f t="shared" si="61"/>
        <v>3538</v>
      </c>
      <c r="J316" s="281">
        <f t="shared" si="63"/>
        <v>0</v>
      </c>
      <c r="K316" s="281" t="s">
        <v>1723</v>
      </c>
    </row>
    <row r="317" spans="1:11" ht="16.2" thickBot="1" x14ac:dyDescent="0.35">
      <c r="A317" s="292">
        <v>7</v>
      </c>
      <c r="B317" s="112" t="s">
        <v>379</v>
      </c>
      <c r="C317" s="292">
        <v>2800</v>
      </c>
      <c r="D317" s="281">
        <v>3538</v>
      </c>
      <c r="E317" s="281">
        <v>1500</v>
      </c>
      <c r="F317" s="281">
        <v>2038</v>
      </c>
      <c r="G317" s="281"/>
      <c r="H317" s="281"/>
      <c r="I317" s="281">
        <f t="shared" si="61"/>
        <v>3538</v>
      </c>
      <c r="J317" s="281">
        <f t="shared" si="63"/>
        <v>0</v>
      </c>
      <c r="K317" s="281" t="s">
        <v>1723</v>
      </c>
    </row>
    <row r="318" spans="1:11" ht="16.2" thickBot="1" x14ac:dyDescent="0.35">
      <c r="A318" s="292">
        <v>8</v>
      </c>
      <c r="B318" s="112" t="s">
        <v>808</v>
      </c>
      <c r="C318" s="292"/>
      <c r="D318" s="281">
        <v>3538</v>
      </c>
      <c r="E318" s="281">
        <v>2500</v>
      </c>
      <c r="F318" s="281"/>
      <c r="G318" s="281"/>
      <c r="H318" s="281"/>
      <c r="I318" s="281">
        <f t="shared" si="61"/>
        <v>2500</v>
      </c>
      <c r="J318" s="281">
        <f>D318-E318-F318-G318-H318</f>
        <v>1038</v>
      </c>
      <c r="K318" s="281"/>
    </row>
    <row r="319" spans="1:11" ht="16.2" thickBot="1" x14ac:dyDescent="0.35">
      <c r="A319" s="292">
        <v>9</v>
      </c>
      <c r="B319" s="112" t="s">
        <v>809</v>
      </c>
      <c r="C319" s="292"/>
      <c r="D319" s="281">
        <v>3538</v>
      </c>
      <c r="E319" s="281">
        <v>3538</v>
      </c>
      <c r="F319" s="281"/>
      <c r="G319" s="281"/>
      <c r="H319" s="281"/>
      <c r="I319" s="281">
        <f t="shared" si="61"/>
        <v>3538</v>
      </c>
      <c r="J319" s="281">
        <f t="shared" si="63"/>
        <v>0</v>
      </c>
      <c r="K319" s="281"/>
    </row>
    <row r="320" spans="1:11" ht="16.2" thickBot="1" x14ac:dyDescent="0.35">
      <c r="A320" s="292">
        <v>10</v>
      </c>
      <c r="B320" s="112" t="s">
        <v>381</v>
      </c>
      <c r="C320" s="292">
        <v>2803</v>
      </c>
      <c r="D320" s="281">
        <v>3538</v>
      </c>
      <c r="E320" s="281"/>
      <c r="F320" s="281"/>
      <c r="G320" s="281"/>
      <c r="H320" s="281"/>
      <c r="I320" s="281">
        <f t="shared" si="61"/>
        <v>0</v>
      </c>
      <c r="J320" s="281">
        <f t="shared" si="63"/>
        <v>3538</v>
      </c>
      <c r="K320" s="281"/>
    </row>
    <row r="321" spans="1:11" ht="16.2" thickBot="1" x14ac:dyDescent="0.35">
      <c r="A321" s="292">
        <v>11</v>
      </c>
      <c r="B321" s="112" t="s">
        <v>810</v>
      </c>
      <c r="C321" s="292"/>
      <c r="D321" s="281">
        <v>3538</v>
      </c>
      <c r="E321" s="281"/>
      <c r="F321" s="281"/>
      <c r="G321" s="281"/>
      <c r="H321" s="281"/>
      <c r="I321" s="281">
        <f t="shared" si="61"/>
        <v>0</v>
      </c>
      <c r="J321" s="281">
        <f t="shared" si="63"/>
        <v>3538</v>
      </c>
      <c r="K321" s="281"/>
    </row>
    <row r="322" spans="1:11" ht="16.2" thickBot="1" x14ac:dyDescent="0.35">
      <c r="A322" s="292">
        <v>12</v>
      </c>
      <c r="B322" s="112" t="s">
        <v>844</v>
      </c>
      <c r="C322" s="292"/>
      <c r="D322" s="281">
        <v>3538</v>
      </c>
      <c r="E322" s="281"/>
      <c r="F322" s="281"/>
      <c r="G322" s="281"/>
      <c r="H322" s="281"/>
      <c r="I322" s="281">
        <f t="shared" si="61"/>
        <v>0</v>
      </c>
      <c r="J322" s="281">
        <f t="shared" si="63"/>
        <v>3538</v>
      </c>
      <c r="K322" s="281"/>
    </row>
    <row r="323" spans="1:11" ht="16.2" thickBot="1" x14ac:dyDescent="0.35">
      <c r="A323" s="292">
        <v>13</v>
      </c>
      <c r="B323" s="112" t="s">
        <v>387</v>
      </c>
      <c r="C323" s="292">
        <v>2805</v>
      </c>
      <c r="D323" s="281">
        <v>3538</v>
      </c>
      <c r="E323" s="281"/>
      <c r="F323" s="281"/>
      <c r="G323" s="281"/>
      <c r="H323" s="281"/>
      <c r="I323" s="281">
        <f t="shared" si="61"/>
        <v>0</v>
      </c>
      <c r="J323" s="281">
        <f t="shared" si="63"/>
        <v>3538</v>
      </c>
      <c r="K323" s="281"/>
    </row>
    <row r="324" spans="1:11" ht="16.2" thickBot="1" x14ac:dyDescent="0.35">
      <c r="A324" s="292">
        <v>14</v>
      </c>
      <c r="B324" s="112" t="s">
        <v>378</v>
      </c>
      <c r="C324" s="292"/>
      <c r="D324" s="281">
        <v>3538</v>
      </c>
      <c r="E324" s="281">
        <v>1500</v>
      </c>
      <c r="F324" s="281">
        <v>2038</v>
      </c>
      <c r="G324" s="281"/>
      <c r="H324" s="281"/>
      <c r="I324" s="281">
        <f t="shared" si="61"/>
        <v>3538</v>
      </c>
      <c r="J324" s="281">
        <f t="shared" si="63"/>
        <v>0</v>
      </c>
      <c r="K324" s="281" t="s">
        <v>1723</v>
      </c>
    </row>
    <row r="325" spans="1:11" ht="16.2" thickBot="1" x14ac:dyDescent="0.35">
      <c r="A325" s="292">
        <v>15</v>
      </c>
      <c r="B325" s="112" t="s">
        <v>811</v>
      </c>
      <c r="C325" s="292">
        <v>3293</v>
      </c>
      <c r="D325" s="281">
        <v>3538</v>
      </c>
      <c r="E325" s="281">
        <v>2800</v>
      </c>
      <c r="F325" s="281">
        <v>738</v>
      </c>
      <c r="G325" s="281"/>
      <c r="H325" s="281"/>
      <c r="I325" s="281">
        <f t="shared" si="61"/>
        <v>3538</v>
      </c>
      <c r="J325" s="281">
        <f t="shared" si="63"/>
        <v>0</v>
      </c>
      <c r="K325" s="281" t="s">
        <v>1723</v>
      </c>
    </row>
    <row r="326" spans="1:11" ht="16.2" thickBot="1" x14ac:dyDescent="0.35">
      <c r="A326" s="292">
        <v>16</v>
      </c>
      <c r="B326" s="112" t="s">
        <v>956</v>
      </c>
      <c r="C326" s="292">
        <v>3340</v>
      </c>
      <c r="D326" s="281">
        <v>3538</v>
      </c>
      <c r="E326" s="281">
        <v>2000</v>
      </c>
      <c r="F326" s="281">
        <v>1538</v>
      </c>
      <c r="G326" s="281"/>
      <c r="H326" s="281"/>
      <c r="I326" s="281">
        <f t="shared" si="61"/>
        <v>3538</v>
      </c>
      <c r="J326" s="281">
        <f t="shared" si="63"/>
        <v>0</v>
      </c>
      <c r="K326" s="281" t="s">
        <v>1723</v>
      </c>
    </row>
    <row r="327" spans="1:11" ht="16.2" thickBot="1" x14ac:dyDescent="0.35">
      <c r="A327" s="292">
        <v>17</v>
      </c>
      <c r="B327" s="112" t="s">
        <v>957</v>
      </c>
      <c r="C327" s="292"/>
      <c r="D327" s="281">
        <v>3538</v>
      </c>
      <c r="E327" s="281">
        <v>1350</v>
      </c>
      <c r="F327" s="281">
        <v>1500</v>
      </c>
      <c r="G327" s="281">
        <v>700</v>
      </c>
      <c r="H327" s="281"/>
      <c r="I327" s="281">
        <f t="shared" si="61"/>
        <v>3550</v>
      </c>
      <c r="J327" s="281">
        <f t="shared" si="63"/>
        <v>-12</v>
      </c>
      <c r="K327" s="281"/>
    </row>
    <row r="328" spans="1:11" ht="18.600000000000001" thickBot="1" x14ac:dyDescent="0.4">
      <c r="A328" s="292">
        <v>18</v>
      </c>
      <c r="B328" s="299" t="s">
        <v>968</v>
      </c>
      <c r="C328" s="392">
        <v>2802</v>
      </c>
      <c r="D328" s="281">
        <v>3538</v>
      </c>
      <c r="E328" s="281">
        <v>1500</v>
      </c>
      <c r="F328" s="281"/>
      <c r="G328" s="281"/>
      <c r="H328" s="281"/>
      <c r="I328" s="281">
        <f t="shared" si="61"/>
        <v>1500</v>
      </c>
      <c r="J328" s="281">
        <f t="shared" si="63"/>
        <v>2038</v>
      </c>
      <c r="K328" s="281" t="s">
        <v>1395</v>
      </c>
    </row>
    <row r="329" spans="1:11" ht="16.2" thickBot="1" x14ac:dyDescent="0.35">
      <c r="A329" s="292">
        <v>19</v>
      </c>
      <c r="B329" s="351" t="s">
        <v>1170</v>
      </c>
      <c r="C329" s="351"/>
      <c r="D329" s="281">
        <v>3538</v>
      </c>
      <c r="E329" s="281"/>
      <c r="F329" s="281"/>
      <c r="G329" s="281"/>
      <c r="H329" s="281"/>
      <c r="I329" s="281">
        <f t="shared" si="61"/>
        <v>0</v>
      </c>
      <c r="J329" s="281">
        <f t="shared" si="63"/>
        <v>3538</v>
      </c>
      <c r="K329" s="281"/>
    </row>
    <row r="330" spans="1:11" ht="16.2" thickBot="1" x14ac:dyDescent="0.35">
      <c r="A330" s="292">
        <v>20</v>
      </c>
      <c r="B330" s="351" t="s">
        <v>1171</v>
      </c>
      <c r="C330" s="351">
        <v>2804</v>
      </c>
      <c r="D330" s="281">
        <v>3538</v>
      </c>
      <c r="E330" s="281"/>
      <c r="F330" s="281"/>
      <c r="G330" s="281"/>
      <c r="H330" s="281"/>
      <c r="I330" s="281">
        <f t="shared" si="61"/>
        <v>0</v>
      </c>
      <c r="J330" s="281">
        <f t="shared" si="63"/>
        <v>3538</v>
      </c>
      <c r="K330" s="281"/>
    </row>
    <row r="331" spans="1:11" ht="16.2" thickBot="1" x14ac:dyDescent="0.35">
      <c r="A331" s="292">
        <v>21</v>
      </c>
      <c r="B331" s="352" t="s">
        <v>1172</v>
      </c>
      <c r="C331" s="352"/>
      <c r="D331" s="281">
        <v>3538</v>
      </c>
      <c r="E331" s="284"/>
      <c r="F331" s="284"/>
      <c r="G331" s="284"/>
      <c r="H331" s="284"/>
      <c r="I331" s="284">
        <f t="shared" si="61"/>
        <v>0</v>
      </c>
      <c r="J331" s="284">
        <f t="shared" si="63"/>
        <v>3538</v>
      </c>
      <c r="K331" s="284"/>
    </row>
    <row r="332" spans="1:11" ht="15.6" x14ac:dyDescent="0.3">
      <c r="A332" s="148"/>
      <c r="B332" s="148"/>
      <c r="C332" s="148"/>
      <c r="D332" s="494">
        <f>SUM(D311:D331)</f>
        <v>74298</v>
      </c>
      <c r="E332" s="494">
        <f t="shared" ref="E332:J332" si="64">SUM(E311:E331)</f>
        <v>26349</v>
      </c>
      <c r="F332" s="494">
        <f t="shared" si="64"/>
        <v>10267</v>
      </c>
      <c r="G332" s="494">
        <f t="shared" si="64"/>
        <v>700</v>
      </c>
      <c r="H332" s="494">
        <f t="shared" si="64"/>
        <v>0</v>
      </c>
      <c r="I332" s="494">
        <f t="shared" si="64"/>
        <v>37316</v>
      </c>
      <c r="J332" s="494">
        <f t="shared" si="64"/>
        <v>36982</v>
      </c>
      <c r="K332" s="147"/>
    </row>
    <row r="333" spans="1:11" ht="15.6" x14ac:dyDescent="0.3">
      <c r="A333" s="143"/>
      <c r="B333" s="143"/>
      <c r="C333" s="143"/>
      <c r="D333" s="142"/>
      <c r="E333" s="142"/>
      <c r="F333" s="142"/>
      <c r="G333" s="142"/>
      <c r="H333" s="142"/>
      <c r="I333" s="142"/>
      <c r="J333" s="142"/>
      <c r="K333" s="142"/>
    </row>
    <row r="334" spans="1:11" ht="15.6" x14ac:dyDescent="0.3">
      <c r="A334" s="280"/>
      <c r="B334" s="280"/>
      <c r="C334" s="280"/>
      <c r="D334" s="279"/>
      <c r="E334" s="279"/>
      <c r="F334" s="279"/>
      <c r="G334" s="279"/>
      <c r="H334" s="279"/>
      <c r="I334" s="279"/>
      <c r="J334" s="279"/>
      <c r="K334" s="279"/>
    </row>
    <row r="335" spans="1:11" ht="16.2" thickBot="1" x14ac:dyDescent="0.35">
      <c r="A335" s="362" t="s">
        <v>1211</v>
      </c>
      <c r="B335" s="309"/>
      <c r="C335" s="363"/>
      <c r="D335" s="363"/>
      <c r="E335" s="363"/>
      <c r="F335" s="363"/>
      <c r="G335" s="363"/>
      <c r="H335" s="363"/>
      <c r="I335" s="363"/>
      <c r="J335" s="363"/>
      <c r="K335" s="363"/>
    </row>
    <row r="336" spans="1:11" ht="27.6" thickBot="1" x14ac:dyDescent="0.35">
      <c r="A336" s="354" t="s">
        <v>0</v>
      </c>
      <c r="B336" s="295" t="s">
        <v>1</v>
      </c>
      <c r="C336" s="354" t="s">
        <v>2</v>
      </c>
      <c r="D336" s="355" t="s">
        <v>854</v>
      </c>
      <c r="E336" s="573" t="s">
        <v>855</v>
      </c>
      <c r="F336" s="574"/>
      <c r="G336" s="574"/>
      <c r="H336" s="575"/>
      <c r="I336" s="356"/>
      <c r="J336" s="357" t="s">
        <v>856</v>
      </c>
      <c r="K336" s="295" t="s">
        <v>3</v>
      </c>
    </row>
    <row r="337" spans="1:11" ht="16.2" thickBot="1" x14ac:dyDescent="0.35">
      <c r="A337" s="292">
        <v>1</v>
      </c>
      <c r="B337" s="112" t="s">
        <v>1400</v>
      </c>
      <c r="C337" s="292"/>
      <c r="D337" s="496">
        <v>5578</v>
      </c>
      <c r="E337" s="281">
        <v>2040</v>
      </c>
      <c r="F337" s="281">
        <v>2000</v>
      </c>
      <c r="G337" s="281"/>
      <c r="H337" s="281"/>
      <c r="I337" s="281">
        <f>SUM(E337:H337)</f>
        <v>4040</v>
      </c>
      <c r="J337" s="281">
        <f>D337-E337-F337-G337-H337</f>
        <v>1538</v>
      </c>
      <c r="K337" s="281" t="s">
        <v>1395</v>
      </c>
    </row>
    <row r="338" spans="1:11" ht="16.2" thickBot="1" x14ac:dyDescent="0.35">
      <c r="A338" s="385">
        <v>2</v>
      </c>
      <c r="B338" s="135" t="s">
        <v>1410</v>
      </c>
      <c r="C338" s="316">
        <v>3457</v>
      </c>
      <c r="D338" s="443">
        <v>5578</v>
      </c>
      <c r="E338" s="284">
        <v>1800</v>
      </c>
      <c r="F338" s="284"/>
      <c r="G338" s="284"/>
      <c r="H338" s="284"/>
      <c r="I338" s="284"/>
      <c r="J338" s="284">
        <f>D338-E338-F338-G338-H338</f>
        <v>3778</v>
      </c>
      <c r="K338" s="284" t="s">
        <v>1395</v>
      </c>
    </row>
    <row r="339" spans="1:11" ht="16.2" thickBot="1" x14ac:dyDescent="0.35">
      <c r="A339" s="444">
        <v>3</v>
      </c>
      <c r="B339" s="275" t="s">
        <v>1475</v>
      </c>
      <c r="C339" s="273"/>
      <c r="D339" s="442">
        <v>5578</v>
      </c>
      <c r="E339" s="271">
        <v>1000</v>
      </c>
      <c r="F339" s="271"/>
      <c r="G339" s="271"/>
      <c r="H339" s="271"/>
      <c r="I339" s="271"/>
      <c r="J339" s="271">
        <f>D339-E339-F339-G339-H339</f>
        <v>4578</v>
      </c>
      <c r="K339" s="271" t="s">
        <v>1395</v>
      </c>
    </row>
    <row r="340" spans="1:11" ht="15.6" x14ac:dyDescent="0.3">
      <c r="A340" s="143"/>
      <c r="B340" s="143"/>
      <c r="C340" s="143"/>
      <c r="D340" s="495">
        <f>SUM(D337:D339)</f>
        <v>16734</v>
      </c>
      <c r="E340" s="495">
        <f t="shared" ref="E340:J340" si="65">SUM(E337:E339)</f>
        <v>4840</v>
      </c>
      <c r="F340" s="495">
        <f t="shared" si="65"/>
        <v>2000</v>
      </c>
      <c r="G340" s="495">
        <f t="shared" si="65"/>
        <v>0</v>
      </c>
      <c r="H340" s="495">
        <f t="shared" si="65"/>
        <v>0</v>
      </c>
      <c r="I340" s="495">
        <f t="shared" si="65"/>
        <v>4040</v>
      </c>
      <c r="J340" s="495">
        <f t="shared" si="65"/>
        <v>9894</v>
      </c>
      <c r="K340" s="142"/>
    </row>
    <row r="341" spans="1:11" ht="15.6" x14ac:dyDescent="0.3">
      <c r="A341" s="143"/>
      <c r="B341" s="143"/>
      <c r="C341" s="143"/>
      <c r="D341" s="142"/>
      <c r="E341" s="142"/>
      <c r="F341" s="142"/>
      <c r="G341" s="142"/>
      <c r="H341" s="142"/>
      <c r="I341" s="142"/>
      <c r="J341" s="142"/>
      <c r="K341" s="142"/>
    </row>
    <row r="342" spans="1:11" ht="16.2" thickBot="1" x14ac:dyDescent="0.35">
      <c r="A342" s="362" t="s">
        <v>1240</v>
      </c>
      <c r="B342" s="309"/>
      <c r="C342" s="363"/>
      <c r="D342" s="363"/>
      <c r="E342" s="363"/>
      <c r="F342" s="363"/>
      <c r="G342" s="363"/>
      <c r="H342" s="363"/>
      <c r="I342" s="363"/>
      <c r="J342" s="363"/>
      <c r="K342" s="363"/>
    </row>
    <row r="343" spans="1:11" ht="27.6" thickBot="1" x14ac:dyDescent="0.35">
      <c r="A343" s="354" t="s">
        <v>0</v>
      </c>
      <c r="B343" s="295" t="s">
        <v>1</v>
      </c>
      <c r="C343" s="354" t="s">
        <v>2</v>
      </c>
      <c r="D343" s="355" t="s">
        <v>854</v>
      </c>
      <c r="E343" s="573" t="s">
        <v>855</v>
      </c>
      <c r="F343" s="574"/>
      <c r="G343" s="574"/>
      <c r="H343" s="575"/>
      <c r="I343" s="356"/>
      <c r="J343" s="357" t="s">
        <v>856</v>
      </c>
      <c r="K343" s="295" t="s">
        <v>3</v>
      </c>
    </row>
    <row r="344" spans="1:11" ht="16.2" thickBot="1" x14ac:dyDescent="0.35">
      <c r="A344" s="292">
        <v>1</v>
      </c>
      <c r="B344" s="112" t="s">
        <v>1209</v>
      </c>
      <c r="C344" s="292">
        <v>3193</v>
      </c>
      <c r="D344" s="281">
        <v>3203</v>
      </c>
      <c r="E344" s="281">
        <v>1500</v>
      </c>
      <c r="F344" s="281"/>
      <c r="G344" s="281"/>
      <c r="H344" s="281"/>
      <c r="I344" s="281">
        <f>SUM(E344:H344)</f>
        <v>1500</v>
      </c>
      <c r="J344" s="281">
        <f>D344-E344-F344-G344-H344</f>
        <v>1703</v>
      </c>
      <c r="K344" s="281" t="s">
        <v>1378</v>
      </c>
    </row>
    <row r="345" spans="1:11" ht="16.2" thickBot="1" x14ac:dyDescent="0.35">
      <c r="A345" s="385">
        <v>2</v>
      </c>
      <c r="B345" s="112" t="s">
        <v>384</v>
      </c>
      <c r="C345" s="292">
        <v>2818</v>
      </c>
      <c r="D345" s="387">
        <v>3203</v>
      </c>
      <c r="E345" s="387"/>
      <c r="F345" s="387"/>
      <c r="G345" s="387"/>
      <c r="H345" s="387"/>
      <c r="I345" s="387"/>
      <c r="J345" s="387">
        <f>D345-E345-F345-G345-H345</f>
        <v>3203</v>
      </c>
      <c r="K345" s="387" t="s">
        <v>1378</v>
      </c>
    </row>
    <row r="346" spans="1:11" ht="15.6" x14ac:dyDescent="0.3">
      <c r="A346" s="141"/>
      <c r="B346" s="300"/>
      <c r="C346" s="141"/>
      <c r="D346" s="495">
        <f>SUM(D344:D345)</f>
        <v>6406</v>
      </c>
      <c r="E346" s="495">
        <f t="shared" ref="E346:J346" si="66">SUM(E344:E345)</f>
        <v>1500</v>
      </c>
      <c r="F346" s="495">
        <f t="shared" si="66"/>
        <v>0</v>
      </c>
      <c r="G346" s="495">
        <f t="shared" si="66"/>
        <v>0</v>
      </c>
      <c r="H346" s="495">
        <f t="shared" si="66"/>
        <v>0</v>
      </c>
      <c r="I346" s="495">
        <f t="shared" si="66"/>
        <v>1500</v>
      </c>
      <c r="J346" s="495">
        <f t="shared" si="66"/>
        <v>4906</v>
      </c>
      <c r="K346" s="142"/>
    </row>
    <row r="347" spans="1:11" ht="15.6" x14ac:dyDescent="0.3">
      <c r="A347" s="141"/>
      <c r="B347" s="300"/>
      <c r="C347" s="141"/>
      <c r="D347" s="142"/>
      <c r="E347" s="142"/>
      <c r="F347" s="142"/>
      <c r="G347" s="142"/>
      <c r="H347" s="142"/>
      <c r="I347" s="142"/>
      <c r="J347" s="142"/>
      <c r="K347" s="142"/>
    </row>
    <row r="348" spans="1:11" ht="15.6" x14ac:dyDescent="0.3">
      <c r="A348" s="143"/>
      <c r="B348" s="143"/>
      <c r="C348" s="143"/>
      <c r="D348" s="142"/>
      <c r="E348" s="142"/>
      <c r="F348" s="142"/>
      <c r="G348" s="142"/>
      <c r="H348" s="142"/>
      <c r="I348" s="142"/>
      <c r="J348" s="142"/>
      <c r="K348" s="142"/>
    </row>
    <row r="349" spans="1:11" ht="16.2" thickBot="1" x14ac:dyDescent="0.35">
      <c r="A349" s="362" t="s">
        <v>812</v>
      </c>
      <c r="B349" s="309"/>
      <c r="C349" s="363"/>
      <c r="D349" s="363"/>
      <c r="E349" s="363"/>
      <c r="F349" s="363"/>
      <c r="G349" s="363"/>
      <c r="H349" s="363"/>
      <c r="I349" s="363"/>
      <c r="J349" s="363"/>
      <c r="K349" s="363"/>
    </row>
    <row r="350" spans="1:11" ht="27.6" thickBot="1" x14ac:dyDescent="0.35">
      <c r="A350" s="354" t="s">
        <v>0</v>
      </c>
      <c r="B350" s="295" t="s">
        <v>1</v>
      </c>
      <c r="C350" s="354" t="s">
        <v>2</v>
      </c>
      <c r="D350" s="355" t="s">
        <v>854</v>
      </c>
      <c r="E350" s="573" t="s">
        <v>855</v>
      </c>
      <c r="F350" s="574"/>
      <c r="G350" s="574"/>
      <c r="H350" s="575"/>
      <c r="I350" s="356"/>
      <c r="J350" s="357" t="s">
        <v>856</v>
      </c>
      <c r="K350" s="295" t="s">
        <v>3</v>
      </c>
    </row>
    <row r="351" spans="1:11" ht="16.2" thickBot="1" x14ac:dyDescent="0.35">
      <c r="A351" s="292">
        <v>1</v>
      </c>
      <c r="B351" s="112" t="s">
        <v>1425</v>
      </c>
      <c r="C351" s="292"/>
      <c r="D351" s="281">
        <v>5243</v>
      </c>
      <c r="E351" s="281">
        <v>2040</v>
      </c>
      <c r="F351" s="281">
        <v>2000</v>
      </c>
      <c r="G351" s="281"/>
      <c r="H351" s="281"/>
      <c r="I351" s="281">
        <f>SUM(E351:H351)</f>
        <v>4040</v>
      </c>
      <c r="J351" s="281">
        <f>D351-E351-F351-G351-H351</f>
        <v>1203</v>
      </c>
      <c r="K351" s="284" t="s">
        <v>1395</v>
      </c>
    </row>
    <row r="352" spans="1:11" ht="16.2" thickBot="1" x14ac:dyDescent="0.35">
      <c r="A352" s="316">
        <v>2</v>
      </c>
      <c r="B352" s="135"/>
      <c r="C352" s="316"/>
      <c r="D352" s="281"/>
      <c r="E352" s="284"/>
      <c r="F352" s="284"/>
      <c r="G352" s="284"/>
      <c r="H352" s="284"/>
      <c r="I352" s="284"/>
      <c r="J352" s="284">
        <f>D352-E352-F352-G352-H352</f>
        <v>0</v>
      </c>
      <c r="K352" s="284"/>
    </row>
    <row r="353" spans="1:12" ht="15.6" x14ac:dyDescent="0.3">
      <c r="A353" s="143"/>
      <c r="B353" s="143"/>
      <c r="C353" s="143"/>
      <c r="D353" s="142"/>
      <c r="E353" s="142"/>
      <c r="F353" s="142"/>
      <c r="G353" s="142"/>
      <c r="H353" s="142"/>
      <c r="I353" s="142"/>
      <c r="J353" s="142"/>
      <c r="K353" s="142"/>
    </row>
    <row r="354" spans="1:12" ht="15.6" x14ac:dyDescent="0.3">
      <c r="A354" s="143"/>
      <c r="B354" s="143"/>
      <c r="C354" s="143"/>
      <c r="D354" s="142"/>
      <c r="E354" s="142"/>
      <c r="F354" s="142"/>
      <c r="G354" s="142"/>
      <c r="H354" s="142"/>
      <c r="I354" s="142"/>
      <c r="J354" s="142"/>
      <c r="K354" s="142"/>
    </row>
    <row r="355" spans="1:12" ht="16.2" thickBot="1" x14ac:dyDescent="0.35">
      <c r="A355" s="362" t="s">
        <v>1241</v>
      </c>
      <c r="B355" s="309"/>
      <c r="C355" s="363"/>
      <c r="D355" s="363"/>
      <c r="E355" s="363"/>
      <c r="F355" s="363"/>
      <c r="G355" s="363"/>
      <c r="H355" s="363"/>
      <c r="I355" s="363"/>
      <c r="J355" s="363"/>
      <c r="K355" s="363"/>
    </row>
    <row r="356" spans="1:12" ht="27.6" thickBot="1" x14ac:dyDescent="0.35">
      <c r="A356" s="354" t="s">
        <v>0</v>
      </c>
      <c r="B356" s="295" t="s">
        <v>1</v>
      </c>
      <c r="C356" s="354" t="s">
        <v>2</v>
      </c>
      <c r="D356" s="355" t="s">
        <v>854</v>
      </c>
      <c r="E356" s="573" t="s">
        <v>855</v>
      </c>
      <c r="F356" s="574"/>
      <c r="G356" s="574"/>
      <c r="H356" s="575"/>
      <c r="I356" s="356"/>
      <c r="J356" s="357" t="s">
        <v>856</v>
      </c>
      <c r="K356" s="295" t="s">
        <v>3</v>
      </c>
    </row>
    <row r="357" spans="1:12" ht="16.2" thickBot="1" x14ac:dyDescent="0.35">
      <c r="A357" s="292">
        <v>1</v>
      </c>
      <c r="B357" s="112" t="s">
        <v>813</v>
      </c>
      <c r="C357" s="292">
        <v>2821</v>
      </c>
      <c r="D357" s="281">
        <v>2744</v>
      </c>
      <c r="E357" s="281">
        <v>1200</v>
      </c>
      <c r="F357" s="281"/>
      <c r="G357" s="281"/>
      <c r="H357" s="281"/>
      <c r="I357" s="281">
        <f>SUM(E357:H357)</f>
        <v>1200</v>
      </c>
      <c r="J357" s="281">
        <f>D357-E357-F357-G357-H357</f>
        <v>1544</v>
      </c>
      <c r="K357" s="281" t="s">
        <v>1395</v>
      </c>
    </row>
    <row r="358" spans="1:12" ht="16.2" thickBot="1" x14ac:dyDescent="0.35">
      <c r="A358" s="316">
        <v>2</v>
      </c>
      <c r="B358" s="135" t="s">
        <v>383</v>
      </c>
      <c r="C358" s="316">
        <v>2819</v>
      </c>
      <c r="D358" s="281">
        <v>2744</v>
      </c>
      <c r="E358" s="284"/>
      <c r="F358" s="284"/>
      <c r="G358" s="284"/>
      <c r="H358" s="284"/>
      <c r="I358" s="284"/>
      <c r="J358" s="284">
        <f>D358-E358-F358-G358-H358</f>
        <v>2744</v>
      </c>
      <c r="K358" s="284" t="s">
        <v>1395</v>
      </c>
    </row>
    <row r="359" spans="1:12" ht="16.2" thickBot="1" x14ac:dyDescent="0.35">
      <c r="A359" s="292">
        <v>3</v>
      </c>
      <c r="B359" s="112" t="s">
        <v>382</v>
      </c>
      <c r="C359" s="292">
        <v>2820</v>
      </c>
      <c r="D359" s="281">
        <v>2744</v>
      </c>
      <c r="E359" s="281">
        <v>1000</v>
      </c>
      <c r="F359" s="281"/>
      <c r="G359" s="281"/>
      <c r="H359" s="281"/>
      <c r="I359" s="281">
        <f>SUM(E359:H359)</f>
        <v>1000</v>
      </c>
      <c r="J359" s="281">
        <f>D359-E359-F359-G359-H359</f>
        <v>1744</v>
      </c>
      <c r="K359" s="6" t="s">
        <v>1395</v>
      </c>
    </row>
    <row r="360" spans="1:12" ht="15.6" x14ac:dyDescent="0.3">
      <c r="A360" s="141"/>
      <c r="B360" s="300"/>
      <c r="C360" s="141"/>
      <c r="D360" s="495">
        <f>SUM(D357:D359)</f>
        <v>8232</v>
      </c>
      <c r="E360" s="495">
        <f t="shared" ref="E360:J360" si="67">SUM(E357:E359)</f>
        <v>2200</v>
      </c>
      <c r="F360" s="495">
        <f t="shared" si="67"/>
        <v>0</v>
      </c>
      <c r="G360" s="495">
        <f t="shared" si="67"/>
        <v>0</v>
      </c>
      <c r="H360" s="495">
        <f t="shared" si="67"/>
        <v>0</v>
      </c>
      <c r="I360" s="495">
        <f t="shared" si="67"/>
        <v>2200</v>
      </c>
      <c r="J360" s="495">
        <f t="shared" si="67"/>
        <v>6032</v>
      </c>
      <c r="K360" s="142"/>
    </row>
    <row r="361" spans="1:12" ht="15.6" x14ac:dyDescent="0.3">
      <c r="A361" s="141"/>
      <c r="B361" s="300"/>
      <c r="C361" s="141"/>
      <c r="D361" s="142"/>
      <c r="E361" s="142"/>
      <c r="F361" s="142"/>
      <c r="G361" s="142"/>
      <c r="H361" s="142"/>
      <c r="I361" s="142"/>
      <c r="J361" s="142"/>
      <c r="K361" s="142"/>
      <c r="L361" s="143"/>
    </row>
    <row r="366" spans="1:12" x14ac:dyDescent="0.3">
      <c r="A366" s="393"/>
      <c r="B366" s="393"/>
      <c r="C366" s="393"/>
      <c r="D366" s="393"/>
      <c r="E366" s="393"/>
      <c r="F366" s="393"/>
      <c r="G366" s="393"/>
      <c r="H366" s="393"/>
      <c r="I366" s="393"/>
      <c r="J366" s="393"/>
      <c r="K366" s="393"/>
    </row>
    <row r="367" spans="1:12" ht="15.6" x14ac:dyDescent="0.3">
      <c r="A367" s="394"/>
      <c r="B367" s="395"/>
      <c r="C367" s="395"/>
      <c r="D367" s="395"/>
      <c r="E367" s="395"/>
      <c r="F367" s="395"/>
      <c r="G367" s="395"/>
      <c r="H367" s="395"/>
      <c r="I367" s="395"/>
      <c r="J367" s="395"/>
      <c r="K367" s="395"/>
    </row>
    <row r="368" spans="1:12" ht="15.6" x14ac:dyDescent="0.3">
      <c r="A368" s="393"/>
      <c r="B368" s="393"/>
      <c r="C368" s="380"/>
      <c r="D368" s="380"/>
      <c r="E368" s="380"/>
      <c r="F368" s="380"/>
      <c r="G368" s="380"/>
      <c r="H368" s="380"/>
      <c r="I368" s="380"/>
      <c r="J368" s="380"/>
      <c r="K368" s="380"/>
    </row>
    <row r="369" spans="1:11" ht="15.6" x14ac:dyDescent="0.3">
      <c r="A369" s="396"/>
      <c r="B369" s="380"/>
      <c r="C369" s="380"/>
      <c r="D369" s="380"/>
      <c r="E369" s="380"/>
      <c r="F369" s="380"/>
      <c r="G369" s="380"/>
      <c r="H369" s="380"/>
      <c r="I369" s="380"/>
      <c r="J369" s="380"/>
      <c r="K369" s="380"/>
    </row>
    <row r="370" spans="1:11" ht="15.6" x14ac:dyDescent="0.3">
      <c r="A370" s="380"/>
      <c r="B370" s="380"/>
      <c r="C370" s="380"/>
      <c r="D370" s="380"/>
      <c r="E370" s="380"/>
      <c r="F370" s="380"/>
      <c r="G370" s="380"/>
      <c r="H370" s="380"/>
      <c r="I370" s="380"/>
      <c r="J370" s="380"/>
      <c r="K370" s="380"/>
    </row>
    <row r="371" spans="1:11" ht="15.6" x14ac:dyDescent="0.3">
      <c r="A371" s="396"/>
      <c r="B371" s="380"/>
      <c r="C371" s="380"/>
      <c r="D371" s="380"/>
      <c r="E371" s="380"/>
      <c r="F371" s="380"/>
      <c r="G371" s="380"/>
      <c r="H371" s="380"/>
      <c r="I371" s="380"/>
      <c r="J371" s="380"/>
      <c r="K371" s="380"/>
    </row>
    <row r="372" spans="1:11" ht="15.6" x14ac:dyDescent="0.3">
      <c r="A372" s="380"/>
      <c r="B372" s="380"/>
      <c r="C372" s="380"/>
      <c r="D372" s="380"/>
      <c r="E372" s="380"/>
      <c r="F372" s="380"/>
      <c r="G372" s="380"/>
      <c r="H372" s="380"/>
      <c r="I372" s="380"/>
      <c r="J372" s="380"/>
      <c r="K372" s="380"/>
    </row>
    <row r="373" spans="1:11" ht="15.6" x14ac:dyDescent="0.3">
      <c r="A373" s="396"/>
      <c r="B373" s="380"/>
      <c r="C373" s="380"/>
      <c r="D373" s="380"/>
      <c r="E373" s="380"/>
      <c r="F373" s="380"/>
      <c r="G373" s="380"/>
      <c r="H373" s="380"/>
      <c r="I373" s="380"/>
      <c r="J373" s="380"/>
      <c r="K373" s="380"/>
    </row>
    <row r="374" spans="1:11" ht="15.6" x14ac:dyDescent="0.3">
      <c r="A374" s="367"/>
      <c r="B374" s="367"/>
      <c r="C374" s="367"/>
      <c r="D374" s="367"/>
      <c r="E374" s="367"/>
      <c r="F374" s="367"/>
      <c r="G374" s="367"/>
      <c r="H374" s="367"/>
      <c r="I374" s="367"/>
      <c r="J374" s="367"/>
      <c r="K374" s="367"/>
    </row>
    <row r="375" spans="1:11" ht="15" x14ac:dyDescent="0.3">
      <c r="A375" s="397"/>
      <c r="B375" s="398"/>
      <c r="C375" s="398"/>
      <c r="D375" s="398"/>
      <c r="E375" s="398"/>
      <c r="F375" s="398"/>
      <c r="G375" s="398"/>
      <c r="H375" s="398"/>
      <c r="I375" s="398"/>
      <c r="J375" s="398"/>
      <c r="K375" s="398"/>
    </row>
    <row r="376" spans="1:11" ht="15" x14ac:dyDescent="0.3">
      <c r="A376" s="398"/>
      <c r="B376" s="398"/>
      <c r="C376" s="398"/>
      <c r="D376" s="398"/>
      <c r="E376" s="398"/>
      <c r="F376" s="398"/>
      <c r="G376" s="398"/>
      <c r="H376" s="398"/>
      <c r="I376" s="398"/>
      <c r="J376" s="398"/>
      <c r="K376" s="398"/>
    </row>
    <row r="377" spans="1:11" ht="15" x14ac:dyDescent="0.3">
      <c r="A377" s="398"/>
      <c r="B377" s="398"/>
      <c r="C377" s="398"/>
      <c r="D377" s="398"/>
      <c r="E377" s="398"/>
      <c r="F377" s="398"/>
      <c r="G377" s="398"/>
      <c r="H377" s="398"/>
      <c r="I377" s="398"/>
      <c r="J377" s="398"/>
      <c r="K377" s="398"/>
    </row>
    <row r="378" spans="1:11" ht="15" x14ac:dyDescent="0.3">
      <c r="A378" s="398"/>
      <c r="B378" s="398"/>
      <c r="C378" s="398"/>
      <c r="D378" s="398"/>
      <c r="E378" s="398"/>
      <c r="F378" s="398"/>
      <c r="G378" s="398"/>
      <c r="H378" s="398"/>
      <c r="I378" s="398"/>
      <c r="J378" s="398"/>
      <c r="K378" s="398"/>
    </row>
    <row r="379" spans="1:11" ht="15.6" x14ac:dyDescent="0.3">
      <c r="A379" s="398"/>
      <c r="B379" s="398"/>
      <c r="C379" s="399"/>
      <c r="D379" s="399"/>
      <c r="E379" s="399"/>
      <c r="F379" s="399"/>
      <c r="G379" s="399"/>
      <c r="H379" s="399"/>
      <c r="I379" s="399"/>
      <c r="J379" s="399"/>
      <c r="K379" s="399"/>
    </row>
    <row r="380" spans="1:11" ht="15.6" x14ac:dyDescent="0.3">
      <c r="D380" s="367"/>
      <c r="E380" s="367"/>
      <c r="F380" s="367"/>
      <c r="G380" s="367"/>
      <c r="H380" s="367"/>
      <c r="I380" s="367"/>
      <c r="J380" s="367"/>
      <c r="K380" s="367"/>
    </row>
    <row r="381" spans="1:11" ht="15.6" x14ac:dyDescent="0.3">
      <c r="A381" s="396"/>
      <c r="B381" s="380"/>
      <c r="C381" s="367"/>
      <c r="D381" s="367"/>
      <c r="E381" s="367"/>
      <c r="F381" s="367"/>
      <c r="G381" s="367"/>
      <c r="H381" s="367"/>
      <c r="I381" s="367"/>
      <c r="J381" s="367"/>
      <c r="K381" s="367"/>
    </row>
    <row r="382" spans="1:11" x14ac:dyDescent="0.3">
      <c r="A382" s="400"/>
      <c r="B382" s="366"/>
      <c r="C382" s="400"/>
      <c r="D382" s="400"/>
      <c r="E382" s="400"/>
      <c r="F382" s="400"/>
      <c r="G382" s="400"/>
      <c r="H382" s="400"/>
      <c r="I382" s="400"/>
      <c r="K382" s="366"/>
    </row>
    <row r="383" spans="1:11" ht="15.6" x14ac:dyDescent="0.3">
      <c r="A383" s="401"/>
      <c r="B383" s="380"/>
      <c r="C383" s="401"/>
      <c r="D383" s="367"/>
      <c r="E383" s="367"/>
      <c r="F383" s="367"/>
      <c r="G383" s="367"/>
      <c r="H383" s="367"/>
      <c r="I383" s="367"/>
      <c r="J383" s="367"/>
      <c r="K383" s="367"/>
    </row>
    <row r="384" spans="1:11" ht="15.6" x14ac:dyDescent="0.3">
      <c r="A384" s="401"/>
      <c r="B384" s="380"/>
      <c r="C384" s="401"/>
      <c r="D384" s="367"/>
      <c r="E384" s="367"/>
      <c r="F384" s="367"/>
      <c r="G384" s="367"/>
      <c r="H384" s="367"/>
      <c r="I384" s="367"/>
      <c r="J384" s="367"/>
      <c r="K384" s="367"/>
    </row>
    <row r="385" spans="1:11" ht="15.6" x14ac:dyDescent="0.3">
      <c r="A385" s="401"/>
      <c r="B385" s="380"/>
      <c r="C385" s="401"/>
      <c r="D385" s="367"/>
      <c r="E385" s="367"/>
      <c r="F385" s="367"/>
      <c r="G385" s="367"/>
      <c r="H385" s="367"/>
      <c r="I385" s="367"/>
      <c r="J385" s="367"/>
      <c r="K385" s="367"/>
    </row>
    <row r="386" spans="1:11" ht="15.6" x14ac:dyDescent="0.3">
      <c r="A386" s="401"/>
      <c r="B386" s="380"/>
      <c r="C386" s="401"/>
      <c r="D386" s="367"/>
      <c r="E386" s="367"/>
      <c r="F386" s="367"/>
      <c r="G386" s="367"/>
      <c r="H386" s="367"/>
      <c r="I386" s="367"/>
      <c r="J386" s="367"/>
      <c r="K386" s="367"/>
    </row>
    <row r="387" spans="1:11" ht="15.6" x14ac:dyDescent="0.3">
      <c r="A387" s="401"/>
      <c r="B387" s="380"/>
      <c r="C387" s="401"/>
      <c r="D387" s="367"/>
      <c r="E387" s="367"/>
      <c r="F387" s="367"/>
      <c r="G387" s="367"/>
      <c r="H387" s="367"/>
      <c r="I387" s="367"/>
      <c r="J387" s="367"/>
      <c r="K387" s="367"/>
    </row>
    <row r="388" spans="1:11" ht="15.6" x14ac:dyDescent="0.3">
      <c r="A388" s="401"/>
      <c r="B388" s="380"/>
      <c r="C388" s="401"/>
      <c r="D388" s="367"/>
      <c r="E388" s="367"/>
      <c r="F388" s="367"/>
      <c r="G388" s="367"/>
      <c r="H388" s="367"/>
      <c r="I388" s="367"/>
      <c r="J388" s="367"/>
      <c r="K388" s="367"/>
    </row>
    <row r="389" spans="1:11" ht="15.6" x14ac:dyDescent="0.3">
      <c r="A389" s="401"/>
      <c r="B389" s="380"/>
      <c r="C389" s="401"/>
      <c r="D389" s="367"/>
      <c r="E389" s="367"/>
      <c r="F389" s="367"/>
      <c r="G389" s="367"/>
      <c r="H389" s="367"/>
      <c r="I389" s="367"/>
      <c r="J389" s="367"/>
      <c r="K389" s="367"/>
    </row>
    <row r="390" spans="1:11" ht="15.6" x14ac:dyDescent="0.3">
      <c r="A390" s="401"/>
      <c r="B390" s="380"/>
      <c r="C390" s="401"/>
      <c r="D390" s="367"/>
      <c r="E390" s="367"/>
      <c r="F390" s="367"/>
      <c r="G390" s="367"/>
      <c r="H390" s="367"/>
      <c r="I390" s="367"/>
      <c r="J390" s="367"/>
      <c r="K390" s="367"/>
    </row>
    <row r="391" spans="1:11" ht="15.6" x14ac:dyDescent="0.3">
      <c r="A391" s="401"/>
      <c r="B391" s="380"/>
      <c r="C391" s="401"/>
      <c r="D391" s="367"/>
      <c r="E391" s="367"/>
      <c r="F391" s="367"/>
      <c r="G391" s="367"/>
      <c r="H391" s="367"/>
      <c r="I391" s="367"/>
      <c r="J391" s="367"/>
      <c r="K391" s="367"/>
    </row>
    <row r="392" spans="1:11" ht="15.6" x14ac:dyDescent="0.3">
      <c r="A392" s="401"/>
      <c r="B392" s="402"/>
      <c r="C392" s="401"/>
      <c r="D392" s="367"/>
      <c r="E392" s="367"/>
      <c r="F392" s="367"/>
      <c r="G392" s="367"/>
      <c r="H392" s="367"/>
      <c r="I392" s="367"/>
      <c r="J392" s="367"/>
      <c r="K392" s="367"/>
    </row>
    <row r="393" spans="1:11" ht="15.6" x14ac:dyDescent="0.3">
      <c r="A393" s="401"/>
      <c r="B393" s="380"/>
      <c r="C393" s="401"/>
      <c r="D393" s="367"/>
      <c r="E393" s="367"/>
      <c r="F393" s="367"/>
      <c r="G393" s="367"/>
      <c r="H393" s="367"/>
      <c r="I393" s="367"/>
      <c r="J393" s="367"/>
      <c r="K393" s="367"/>
    </row>
    <row r="394" spans="1:11" ht="15.6" x14ac:dyDescent="0.3">
      <c r="A394" s="401"/>
      <c r="B394" s="380"/>
      <c r="C394" s="403"/>
      <c r="D394" s="367"/>
      <c r="E394" s="367"/>
      <c r="F394" s="367"/>
      <c r="G394" s="367"/>
      <c r="H394" s="367"/>
      <c r="I394" s="367"/>
      <c r="J394" s="367"/>
      <c r="K394" s="367"/>
    </row>
    <row r="395" spans="1:11" ht="15.6" x14ac:dyDescent="0.3">
      <c r="A395" s="401"/>
      <c r="B395" s="380"/>
      <c r="C395" s="401"/>
      <c r="D395" s="367"/>
      <c r="E395" s="367"/>
      <c r="F395" s="367"/>
      <c r="G395" s="367"/>
      <c r="H395" s="367"/>
      <c r="I395" s="367"/>
      <c r="J395" s="367"/>
      <c r="K395" s="367"/>
    </row>
    <row r="396" spans="1:11" ht="15.6" x14ac:dyDescent="0.3">
      <c r="A396" s="401"/>
      <c r="B396" s="380"/>
      <c r="C396" s="401"/>
      <c r="D396" s="367"/>
      <c r="E396" s="367"/>
      <c r="F396" s="367"/>
      <c r="G396" s="367"/>
      <c r="H396" s="367"/>
      <c r="I396" s="367"/>
      <c r="J396" s="367"/>
      <c r="K396" s="367"/>
    </row>
    <row r="397" spans="1:11" ht="15.6" x14ac:dyDescent="0.3">
      <c r="A397" s="401"/>
      <c r="B397" s="380"/>
      <c r="C397" s="401"/>
      <c r="D397" s="367"/>
      <c r="E397" s="367"/>
      <c r="F397" s="367"/>
      <c r="G397" s="367"/>
      <c r="H397" s="367"/>
      <c r="I397" s="367"/>
      <c r="J397" s="367"/>
      <c r="K397" s="367"/>
    </row>
    <row r="398" spans="1:11" ht="15.6" x14ac:dyDescent="0.3">
      <c r="A398" s="401"/>
      <c r="B398" s="380"/>
      <c r="C398" s="401"/>
      <c r="D398" s="367"/>
      <c r="E398" s="367"/>
      <c r="F398" s="367"/>
      <c r="G398" s="367"/>
      <c r="H398" s="367"/>
      <c r="I398" s="367"/>
      <c r="J398" s="367"/>
      <c r="K398" s="367"/>
    </row>
    <row r="399" spans="1:11" ht="15.6" x14ac:dyDescent="0.3">
      <c r="A399" s="401"/>
      <c r="B399" s="380"/>
      <c r="C399" s="401"/>
      <c r="D399" s="367"/>
      <c r="E399" s="367"/>
      <c r="F399" s="367"/>
      <c r="G399" s="367"/>
      <c r="H399" s="367"/>
      <c r="I399" s="367"/>
      <c r="J399" s="367"/>
      <c r="K399" s="367"/>
    </row>
    <row r="400" spans="1:11" ht="15.6" x14ac:dyDescent="0.3">
      <c r="A400" s="401"/>
      <c r="B400" s="380"/>
      <c r="C400" s="401"/>
      <c r="D400" s="367"/>
      <c r="E400" s="367"/>
      <c r="F400" s="367"/>
      <c r="G400" s="367"/>
      <c r="H400" s="367"/>
      <c r="I400" s="367"/>
      <c r="J400" s="367"/>
      <c r="K400" s="367"/>
    </row>
    <row r="401" spans="1:11" ht="15.6" x14ac:dyDescent="0.3">
      <c r="A401" s="380"/>
      <c r="B401" s="380"/>
      <c r="C401" s="403"/>
      <c r="D401" s="367"/>
      <c r="E401" s="367"/>
      <c r="F401" s="367"/>
      <c r="G401" s="367"/>
      <c r="H401" s="367"/>
      <c r="I401" s="367"/>
      <c r="J401" s="367"/>
      <c r="K401" s="367"/>
    </row>
    <row r="402" spans="1:11" ht="15.6" x14ac:dyDescent="0.3">
      <c r="A402" s="380"/>
      <c r="B402" s="396"/>
      <c r="C402" s="404"/>
      <c r="D402" s="367"/>
      <c r="E402" s="367"/>
      <c r="F402" s="367"/>
      <c r="G402" s="367"/>
      <c r="H402" s="367"/>
      <c r="I402" s="367"/>
      <c r="J402" s="367"/>
      <c r="K402" s="367"/>
    </row>
    <row r="403" spans="1:11" ht="15.6" x14ac:dyDescent="0.3">
      <c r="A403" s="380"/>
      <c r="B403" s="380"/>
      <c r="C403" s="404"/>
      <c r="D403" s="367"/>
      <c r="E403" s="367"/>
      <c r="F403" s="367"/>
      <c r="G403" s="367"/>
      <c r="H403" s="367"/>
      <c r="I403" s="367"/>
      <c r="J403" s="367"/>
      <c r="K403" s="367"/>
    </row>
    <row r="404" spans="1:11" ht="15.6" x14ac:dyDescent="0.3">
      <c r="A404" s="380"/>
      <c r="B404" s="380"/>
      <c r="C404" s="404"/>
      <c r="D404" s="367"/>
      <c r="E404" s="367"/>
      <c r="F404" s="367"/>
      <c r="G404" s="367"/>
      <c r="H404" s="367"/>
      <c r="I404" s="367"/>
      <c r="J404" s="367"/>
      <c r="K404" s="367"/>
    </row>
    <row r="405" spans="1:11" ht="15.6" x14ac:dyDescent="0.3">
      <c r="A405" s="380"/>
      <c r="B405" s="380"/>
      <c r="C405" s="404"/>
      <c r="D405" s="367"/>
      <c r="E405" s="367"/>
      <c r="F405" s="367"/>
      <c r="G405" s="367"/>
      <c r="H405" s="367"/>
      <c r="I405" s="367"/>
      <c r="J405" s="367"/>
      <c r="K405" s="367"/>
    </row>
    <row r="406" spans="1:11" ht="15.6" x14ac:dyDescent="0.3">
      <c r="A406" s="380"/>
      <c r="B406" s="380"/>
      <c r="D406" s="367"/>
      <c r="E406" s="367"/>
      <c r="F406" s="367"/>
      <c r="G406" s="367"/>
      <c r="H406" s="367"/>
      <c r="I406" s="367"/>
      <c r="J406" s="367"/>
      <c r="K406" s="367"/>
    </row>
    <row r="407" spans="1:11" ht="15.6" x14ac:dyDescent="0.3">
      <c r="A407" s="380"/>
      <c r="B407" s="380"/>
      <c r="D407" s="367"/>
      <c r="E407" s="367"/>
      <c r="F407" s="367"/>
      <c r="G407" s="367"/>
      <c r="H407" s="367"/>
      <c r="I407" s="367"/>
      <c r="J407" s="367"/>
      <c r="K407" s="367"/>
    </row>
  </sheetData>
  <sortState ref="B285:K302">
    <sortCondition ref="B285:B302"/>
  </sortState>
  <mergeCells count="37">
    <mergeCell ref="E279:H279"/>
    <mergeCell ref="E310:H310"/>
    <mergeCell ref="E356:H356"/>
    <mergeCell ref="E202:H202"/>
    <mergeCell ref="E230:H230"/>
    <mergeCell ref="E218:H218"/>
    <mergeCell ref="E343:H343"/>
    <mergeCell ref="E250:H250"/>
    <mergeCell ref="E273:H273"/>
    <mergeCell ref="E285:H285"/>
    <mergeCell ref="E336:H336"/>
    <mergeCell ref="E350:H350"/>
    <mergeCell ref="E236:H236"/>
    <mergeCell ref="E257:H257"/>
    <mergeCell ref="E267:H267"/>
    <mergeCell ref="E244:H244"/>
    <mergeCell ref="E192:H192"/>
    <mergeCell ref="E130:H130"/>
    <mergeCell ref="E156:H156"/>
    <mergeCell ref="E164:H164"/>
    <mergeCell ref="E150:H150"/>
    <mergeCell ref="E2:H2"/>
    <mergeCell ref="E50:H50"/>
    <mergeCell ref="E139:H139"/>
    <mergeCell ref="E172:H172"/>
    <mergeCell ref="E224:H224"/>
    <mergeCell ref="E78:H78"/>
    <mergeCell ref="E100:H100"/>
    <mergeCell ref="E113:H113"/>
    <mergeCell ref="E12:H12"/>
    <mergeCell ref="E25:H25"/>
    <mergeCell ref="E37:H37"/>
    <mergeCell ref="E62:H62"/>
    <mergeCell ref="E124:H124"/>
    <mergeCell ref="E211:H211"/>
    <mergeCell ref="E179:H179"/>
    <mergeCell ref="E186:H186"/>
  </mergeCells>
  <pageMargins left="0.25" right="0.25" top="0.75" bottom="0.75" header="0.3" footer="0.3"/>
  <pageSetup fitToHeight="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8"/>
  <sheetViews>
    <sheetView topLeftCell="A239" zoomScaleNormal="100" workbookViewId="0">
      <selection activeCell="G255" sqref="G255"/>
    </sheetView>
  </sheetViews>
  <sheetFormatPr defaultRowHeight="14.4" x14ac:dyDescent="0.3"/>
  <cols>
    <col min="1" max="1" width="6.21875" style="294" customWidth="1"/>
    <col min="2" max="2" width="36" style="294" bestFit="1" customWidth="1"/>
    <col min="3" max="3" width="8.88671875" style="294"/>
    <col min="4" max="4" width="11.21875" style="294" customWidth="1"/>
    <col min="5" max="5" width="9.33203125" style="294" bestFit="1" customWidth="1"/>
    <col min="6" max="6" width="8.77734375" style="294" customWidth="1"/>
    <col min="7" max="7" width="9" style="294" customWidth="1"/>
    <col min="8" max="8" width="8.44140625" style="294" customWidth="1"/>
    <col min="9" max="9" width="8.88671875" style="294"/>
    <col min="10" max="10" width="9.77734375" style="294" bestFit="1" customWidth="1"/>
    <col min="11" max="11" width="65.77734375" style="294" bestFit="1" customWidth="1"/>
    <col min="12" max="12" width="15.33203125" style="294" bestFit="1" customWidth="1"/>
    <col min="13" max="16384" width="8.88671875" style="294"/>
  </cols>
  <sheetData>
    <row r="1" spans="1:11" ht="21" thickBot="1" x14ac:dyDescent="0.4">
      <c r="A1" s="579" t="s">
        <v>4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</row>
    <row r="2" spans="1:11" ht="21" thickBot="1" x14ac:dyDescent="0.4">
      <c r="A2" s="579" t="s">
        <v>9</v>
      </c>
      <c r="B2" s="579"/>
      <c r="C2" s="579"/>
      <c r="D2" s="579"/>
      <c r="E2" s="579"/>
      <c r="F2" s="579"/>
      <c r="G2" s="579"/>
      <c r="H2" s="579"/>
      <c r="I2" s="579"/>
      <c r="J2" s="579"/>
      <c r="K2" s="579"/>
    </row>
    <row r="3" spans="1:11" ht="16.2" thickBot="1" x14ac:dyDescent="0.35">
      <c r="A3" s="353" t="s">
        <v>1244</v>
      </c>
      <c r="B3" s="112"/>
      <c r="C3" s="281"/>
      <c r="D3" s="281"/>
      <c r="E3" s="281"/>
      <c r="F3" s="281"/>
      <c r="G3" s="281"/>
      <c r="H3" s="281"/>
      <c r="I3" s="281"/>
      <c r="J3" s="281"/>
      <c r="K3" s="351"/>
    </row>
    <row r="4" spans="1:11" ht="27.6" thickBot="1" x14ac:dyDescent="0.35">
      <c r="A4" s="354" t="s">
        <v>0</v>
      </c>
      <c r="B4" s="295" t="s">
        <v>1</v>
      </c>
      <c r="C4" s="354" t="s">
        <v>2</v>
      </c>
      <c r="D4" s="355" t="s">
        <v>854</v>
      </c>
      <c r="E4" s="573" t="s">
        <v>855</v>
      </c>
      <c r="F4" s="574"/>
      <c r="G4" s="574"/>
      <c r="H4" s="575"/>
      <c r="I4" s="416"/>
      <c r="J4" s="357" t="s">
        <v>856</v>
      </c>
      <c r="K4" s="295" t="s">
        <v>3</v>
      </c>
    </row>
    <row r="5" spans="1:11" ht="16.2" thickBot="1" x14ac:dyDescent="0.35">
      <c r="A5" s="315">
        <v>1</v>
      </c>
      <c r="B5" s="112" t="s">
        <v>1320</v>
      </c>
      <c r="C5" s="292"/>
      <c r="D5" s="281">
        <v>6672</v>
      </c>
      <c r="E5" s="281">
        <v>2040</v>
      </c>
      <c r="F5" s="281">
        <v>4632</v>
      </c>
      <c r="G5" s="281"/>
      <c r="H5" s="281"/>
      <c r="I5" s="281">
        <f>SUM(E5:H5)</f>
        <v>6672</v>
      </c>
      <c r="J5" s="281">
        <f t="shared" ref="J5:J10" si="0">D5-E5-F5-G5-H5</f>
        <v>0</v>
      </c>
      <c r="K5" s="281"/>
    </row>
    <row r="6" spans="1:11" ht="16.2" thickBot="1" x14ac:dyDescent="0.35">
      <c r="A6" s="315">
        <v>2</v>
      </c>
      <c r="B6" s="131" t="s">
        <v>1535</v>
      </c>
      <c r="C6" s="315">
        <v>3653</v>
      </c>
      <c r="D6" s="281">
        <v>6672</v>
      </c>
      <c r="E6" s="281">
        <v>4632</v>
      </c>
      <c r="F6" s="281">
        <v>2040</v>
      </c>
      <c r="G6" s="281"/>
      <c r="H6" s="281"/>
      <c r="I6" s="281">
        <f t="shared" ref="I6:I10" si="1">SUM(E6:H6)</f>
        <v>6672</v>
      </c>
      <c r="J6" s="281">
        <f t="shared" si="0"/>
        <v>0</v>
      </c>
      <c r="K6" s="281" t="s">
        <v>1395</v>
      </c>
    </row>
    <row r="7" spans="1:11" ht="16.2" thickBot="1" x14ac:dyDescent="0.35">
      <c r="A7" s="315">
        <v>3</v>
      </c>
      <c r="B7" s="131" t="s">
        <v>1567</v>
      </c>
      <c r="C7" s="315"/>
      <c r="D7" s="281">
        <v>6672</v>
      </c>
      <c r="E7" s="281">
        <v>4635</v>
      </c>
      <c r="F7" s="281">
        <v>2000</v>
      </c>
      <c r="G7" s="281"/>
      <c r="H7" s="281"/>
      <c r="I7" s="281">
        <f t="shared" si="1"/>
        <v>6635</v>
      </c>
      <c r="J7" s="281">
        <f t="shared" si="0"/>
        <v>37</v>
      </c>
      <c r="K7" s="281" t="s">
        <v>1395</v>
      </c>
    </row>
    <row r="8" spans="1:11" ht="16.2" thickBot="1" x14ac:dyDescent="0.35">
      <c r="A8" s="315">
        <v>4</v>
      </c>
      <c r="B8" s="131" t="s">
        <v>1568</v>
      </c>
      <c r="C8" s="315"/>
      <c r="D8" s="281">
        <v>6672</v>
      </c>
      <c r="E8" s="281">
        <v>5000</v>
      </c>
      <c r="F8" s="281"/>
      <c r="G8" s="281"/>
      <c r="H8" s="281"/>
      <c r="I8" s="281">
        <f t="shared" si="1"/>
        <v>5000</v>
      </c>
      <c r="J8" s="281">
        <f t="shared" si="0"/>
        <v>1672</v>
      </c>
      <c r="K8" s="281" t="s">
        <v>1395</v>
      </c>
    </row>
    <row r="9" spans="1:11" ht="16.2" thickBot="1" x14ac:dyDescent="0.35">
      <c r="A9" s="315">
        <v>5</v>
      </c>
      <c r="B9" s="132" t="s">
        <v>1615</v>
      </c>
      <c r="C9" s="315"/>
      <c r="D9" s="281">
        <v>6672</v>
      </c>
      <c r="E9" s="281">
        <v>2400</v>
      </c>
      <c r="F9" s="281"/>
      <c r="G9" s="281"/>
      <c r="H9" s="281"/>
      <c r="I9" s="281">
        <f t="shared" si="1"/>
        <v>2400</v>
      </c>
      <c r="J9" s="281">
        <f t="shared" si="0"/>
        <v>4272</v>
      </c>
      <c r="K9" s="351" t="s">
        <v>1395</v>
      </c>
    </row>
    <row r="10" spans="1:11" ht="16.2" thickBot="1" x14ac:dyDescent="0.35">
      <c r="A10" s="315">
        <v>6</v>
      </c>
      <c r="B10" s="112" t="s">
        <v>1618</v>
      </c>
      <c r="C10" s="292"/>
      <c r="D10" s="281">
        <v>6672</v>
      </c>
      <c r="E10" s="281">
        <v>3000</v>
      </c>
      <c r="F10" s="281">
        <v>538</v>
      </c>
      <c r="G10" s="281"/>
      <c r="H10" s="281"/>
      <c r="I10" s="281">
        <f t="shared" si="1"/>
        <v>3538</v>
      </c>
      <c r="J10" s="281">
        <f t="shared" si="0"/>
        <v>3134</v>
      </c>
      <c r="K10" s="284" t="s">
        <v>1395</v>
      </c>
    </row>
    <row r="11" spans="1:11" ht="15.6" x14ac:dyDescent="0.3">
      <c r="A11" s="148"/>
      <c r="B11" s="148"/>
      <c r="C11" s="148"/>
      <c r="D11" s="494">
        <f>SUM(D5:D10)</f>
        <v>40032</v>
      </c>
      <c r="E11" s="494">
        <f t="shared" ref="E11:J11" si="2">SUM(E5:E10)</f>
        <v>21707</v>
      </c>
      <c r="F11" s="494">
        <f t="shared" si="2"/>
        <v>9210</v>
      </c>
      <c r="G11" s="494">
        <f t="shared" si="2"/>
        <v>0</v>
      </c>
      <c r="H11" s="494">
        <f t="shared" si="2"/>
        <v>0</v>
      </c>
      <c r="I11" s="494">
        <f t="shared" si="2"/>
        <v>30917</v>
      </c>
      <c r="J11" s="494">
        <f t="shared" si="2"/>
        <v>9115</v>
      </c>
      <c r="K11" s="148"/>
    </row>
    <row r="12" spans="1:11" ht="15.6" x14ac:dyDescent="0.3">
      <c r="A12" s="143"/>
      <c r="B12" s="143"/>
      <c r="C12" s="143"/>
      <c r="D12" s="142"/>
      <c r="E12" s="142"/>
      <c r="F12" s="142"/>
      <c r="G12" s="142"/>
      <c r="H12" s="142"/>
      <c r="I12" s="142"/>
      <c r="J12" s="142"/>
      <c r="K12" s="143"/>
    </row>
    <row r="13" spans="1:11" ht="16.2" thickBot="1" x14ac:dyDescent="0.35">
      <c r="A13" s="418"/>
      <c r="B13" s="418"/>
      <c r="C13" s="418"/>
      <c r="D13" s="419"/>
      <c r="E13" s="419"/>
      <c r="F13" s="419"/>
      <c r="G13" s="419"/>
      <c r="H13" s="419"/>
      <c r="I13" s="419"/>
      <c r="J13" s="419"/>
      <c r="K13" s="418"/>
    </row>
    <row r="14" spans="1:11" ht="16.2" thickBot="1" x14ac:dyDescent="0.35">
      <c r="A14" s="362" t="s">
        <v>1245</v>
      </c>
      <c r="B14" s="309"/>
      <c r="C14" s="363"/>
      <c r="D14" s="363"/>
      <c r="E14" s="363"/>
      <c r="F14" s="363"/>
      <c r="G14" s="363"/>
      <c r="H14" s="363"/>
      <c r="I14" s="363"/>
      <c r="J14" s="363"/>
      <c r="K14" s="420"/>
    </row>
    <row r="15" spans="1:11" ht="27.6" thickBot="1" x14ac:dyDescent="0.35">
      <c r="A15" s="354" t="s">
        <v>0</v>
      </c>
      <c r="B15" s="295" t="s">
        <v>1</v>
      </c>
      <c r="C15" s="354" t="s">
        <v>2</v>
      </c>
      <c r="D15" s="355" t="s">
        <v>854</v>
      </c>
      <c r="E15" s="573" t="s">
        <v>855</v>
      </c>
      <c r="F15" s="574"/>
      <c r="G15" s="574"/>
      <c r="H15" s="575"/>
      <c r="I15" s="416"/>
      <c r="J15" s="357" t="s">
        <v>856</v>
      </c>
      <c r="K15" s="295" t="s">
        <v>3</v>
      </c>
    </row>
    <row r="16" spans="1:11" ht="16.2" thickBot="1" x14ac:dyDescent="0.35">
      <c r="A16" s="315">
        <v>1</v>
      </c>
      <c r="B16" s="112" t="s">
        <v>522</v>
      </c>
      <c r="C16" s="292">
        <v>3059</v>
      </c>
      <c r="D16" s="281">
        <v>3538</v>
      </c>
      <c r="E16" s="281">
        <v>2502</v>
      </c>
      <c r="F16" s="281"/>
      <c r="G16" s="281"/>
      <c r="H16" s="281"/>
      <c r="I16" s="281">
        <f>SUM(E16:H16)</f>
        <v>2502</v>
      </c>
      <c r="J16" s="281">
        <f t="shared" ref="J16:J31" si="3">D16-E16-F16-G16-H16</f>
        <v>1036</v>
      </c>
      <c r="K16" s="281"/>
    </row>
    <row r="17" spans="1:11" ht="16.2" thickBot="1" x14ac:dyDescent="0.35">
      <c r="A17" s="315">
        <v>2</v>
      </c>
      <c r="B17" s="131" t="s">
        <v>515</v>
      </c>
      <c r="C17" s="315"/>
      <c r="D17" s="281">
        <v>3538</v>
      </c>
      <c r="E17" s="281">
        <v>2000</v>
      </c>
      <c r="F17" s="281"/>
      <c r="G17" s="281"/>
      <c r="H17" s="281"/>
      <c r="I17" s="281">
        <f t="shared" ref="I17:I31" si="4">SUM(E17:H17)</f>
        <v>2000</v>
      </c>
      <c r="J17" s="281">
        <f t="shared" si="3"/>
        <v>1538</v>
      </c>
      <c r="K17" s="281" t="s">
        <v>1395</v>
      </c>
    </row>
    <row r="18" spans="1:11" ht="16.2" thickBot="1" x14ac:dyDescent="0.35">
      <c r="A18" s="315">
        <v>3</v>
      </c>
      <c r="B18" s="131" t="s">
        <v>517</v>
      </c>
      <c r="C18" s="315">
        <v>3207</v>
      </c>
      <c r="D18" s="281">
        <v>3538</v>
      </c>
      <c r="E18" s="281">
        <v>3538</v>
      </c>
      <c r="F18" s="281"/>
      <c r="G18" s="281"/>
      <c r="H18" s="281"/>
      <c r="I18" s="281">
        <f t="shared" si="4"/>
        <v>3538</v>
      </c>
      <c r="J18" s="281">
        <f t="shared" si="3"/>
        <v>0</v>
      </c>
      <c r="K18" s="281" t="s">
        <v>1395</v>
      </c>
    </row>
    <row r="19" spans="1:11" ht="16.2" thickBot="1" x14ac:dyDescent="0.35">
      <c r="A19" s="315">
        <v>4</v>
      </c>
      <c r="B19" s="131" t="s">
        <v>520</v>
      </c>
      <c r="C19" s="315">
        <v>3048</v>
      </c>
      <c r="D19" s="281">
        <v>3538</v>
      </c>
      <c r="E19" s="281">
        <v>2130</v>
      </c>
      <c r="F19" s="281"/>
      <c r="G19" s="281"/>
      <c r="H19" s="281"/>
      <c r="I19" s="281">
        <f t="shared" si="4"/>
        <v>2130</v>
      </c>
      <c r="J19" s="281">
        <f t="shared" si="3"/>
        <v>1408</v>
      </c>
      <c r="K19" s="281" t="s">
        <v>1395</v>
      </c>
    </row>
    <row r="20" spans="1:11" ht="16.2" thickBot="1" x14ac:dyDescent="0.35">
      <c r="A20" s="315">
        <v>5</v>
      </c>
      <c r="B20" s="132" t="s">
        <v>152</v>
      </c>
      <c r="C20" s="315">
        <v>3049</v>
      </c>
      <c r="D20" s="281">
        <v>3538</v>
      </c>
      <c r="E20" s="281">
        <v>2000</v>
      </c>
      <c r="F20" s="281"/>
      <c r="G20" s="281"/>
      <c r="H20" s="281"/>
      <c r="I20" s="281">
        <f t="shared" si="4"/>
        <v>2000</v>
      </c>
      <c r="J20" s="281">
        <f t="shared" si="3"/>
        <v>1538</v>
      </c>
      <c r="K20" s="281" t="s">
        <v>1395</v>
      </c>
    </row>
    <row r="21" spans="1:11" ht="16.2" thickBot="1" x14ac:dyDescent="0.35">
      <c r="A21" s="315">
        <v>6</v>
      </c>
      <c r="B21" s="112" t="s">
        <v>519</v>
      </c>
      <c r="C21" s="292">
        <v>3050</v>
      </c>
      <c r="D21" s="281">
        <v>3538</v>
      </c>
      <c r="E21" s="281"/>
      <c r="F21" s="281"/>
      <c r="G21" s="281"/>
      <c r="H21" s="281"/>
      <c r="I21" s="281">
        <f t="shared" si="4"/>
        <v>0</v>
      </c>
      <c r="J21" s="281">
        <f t="shared" si="3"/>
        <v>3538</v>
      </c>
      <c r="K21" s="281"/>
    </row>
    <row r="22" spans="1:11" ht="16.2" thickBot="1" x14ac:dyDescent="0.35">
      <c r="A22" s="315">
        <v>7</v>
      </c>
      <c r="B22" s="112" t="s">
        <v>847</v>
      </c>
      <c r="C22" s="292">
        <v>3324</v>
      </c>
      <c r="D22" s="281">
        <v>3538</v>
      </c>
      <c r="E22" s="281">
        <v>1535</v>
      </c>
      <c r="F22" s="281"/>
      <c r="G22" s="281"/>
      <c r="H22" s="281"/>
      <c r="I22" s="281">
        <f t="shared" si="4"/>
        <v>1535</v>
      </c>
      <c r="J22" s="281">
        <f t="shared" si="3"/>
        <v>2003</v>
      </c>
      <c r="K22" s="281" t="s">
        <v>1395</v>
      </c>
    </row>
    <row r="23" spans="1:11" ht="16.2" thickBot="1" x14ac:dyDescent="0.35">
      <c r="A23" s="315">
        <v>8</v>
      </c>
      <c r="B23" s="112" t="s">
        <v>848</v>
      </c>
      <c r="C23" s="267">
        <v>2514</v>
      </c>
      <c r="D23" s="281">
        <v>3538</v>
      </c>
      <c r="E23" s="281"/>
      <c r="F23" s="281"/>
      <c r="G23" s="281"/>
      <c r="H23" s="281"/>
      <c r="I23" s="281">
        <f t="shared" si="4"/>
        <v>0</v>
      </c>
      <c r="J23" s="281">
        <f t="shared" si="3"/>
        <v>3538</v>
      </c>
      <c r="K23" s="281"/>
    </row>
    <row r="24" spans="1:11" ht="16.2" thickBot="1" x14ac:dyDescent="0.35">
      <c r="A24" s="315">
        <v>9</v>
      </c>
      <c r="B24" s="133" t="s">
        <v>521</v>
      </c>
      <c r="C24" s="292">
        <v>3052</v>
      </c>
      <c r="D24" s="281">
        <v>3538</v>
      </c>
      <c r="E24" s="281">
        <v>3538</v>
      </c>
      <c r="F24" s="281"/>
      <c r="G24" s="281"/>
      <c r="H24" s="281"/>
      <c r="I24" s="281">
        <f t="shared" si="4"/>
        <v>3538</v>
      </c>
      <c r="J24" s="281">
        <f t="shared" si="3"/>
        <v>0</v>
      </c>
      <c r="K24" s="351" t="s">
        <v>1395</v>
      </c>
    </row>
    <row r="25" spans="1:11" ht="16.2" thickBot="1" x14ac:dyDescent="0.35">
      <c r="A25" s="315">
        <v>10</v>
      </c>
      <c r="B25" s="131" t="s">
        <v>513</v>
      </c>
      <c r="C25" s="315"/>
      <c r="D25" s="281">
        <v>3538</v>
      </c>
      <c r="E25" s="281"/>
      <c r="F25" s="281"/>
      <c r="G25" s="281"/>
      <c r="H25" s="281"/>
      <c r="I25" s="281">
        <f t="shared" si="4"/>
        <v>0</v>
      </c>
      <c r="J25" s="281">
        <f t="shared" si="3"/>
        <v>3538</v>
      </c>
      <c r="K25" s="281"/>
    </row>
    <row r="26" spans="1:11" ht="16.2" thickBot="1" x14ac:dyDescent="0.35">
      <c r="A26" s="315">
        <v>11</v>
      </c>
      <c r="B26" s="112" t="s">
        <v>514</v>
      </c>
      <c r="C26" s="292"/>
      <c r="D26" s="281">
        <v>3538</v>
      </c>
      <c r="E26" s="281">
        <v>2000</v>
      </c>
      <c r="F26" s="281"/>
      <c r="G26" s="281"/>
      <c r="H26" s="281"/>
      <c r="I26" s="281">
        <f t="shared" si="4"/>
        <v>2000</v>
      </c>
      <c r="J26" s="281">
        <f t="shared" si="3"/>
        <v>1538</v>
      </c>
      <c r="K26" s="281" t="s">
        <v>1395</v>
      </c>
    </row>
    <row r="27" spans="1:11" ht="16.2" thickBot="1" x14ac:dyDescent="0.35">
      <c r="A27" s="315">
        <v>12</v>
      </c>
      <c r="B27" s="112" t="s">
        <v>523</v>
      </c>
      <c r="C27" s="267">
        <v>3054</v>
      </c>
      <c r="D27" s="281">
        <v>3538</v>
      </c>
      <c r="E27" s="281">
        <v>3538</v>
      </c>
      <c r="F27" s="281"/>
      <c r="G27" s="281"/>
      <c r="H27" s="281"/>
      <c r="I27" s="281">
        <f t="shared" si="4"/>
        <v>3538</v>
      </c>
      <c r="J27" s="281">
        <f t="shared" si="3"/>
        <v>0</v>
      </c>
      <c r="K27" s="281" t="s">
        <v>1395</v>
      </c>
    </row>
    <row r="28" spans="1:11" ht="16.2" thickBot="1" x14ac:dyDescent="0.35">
      <c r="A28" s="315">
        <v>13</v>
      </c>
      <c r="B28" s="112" t="s">
        <v>694</v>
      </c>
      <c r="C28" s="292">
        <v>3055</v>
      </c>
      <c r="D28" s="281">
        <v>3538</v>
      </c>
      <c r="E28" s="281">
        <v>2000</v>
      </c>
      <c r="F28" s="281"/>
      <c r="G28" s="281"/>
      <c r="H28" s="281"/>
      <c r="I28" s="281">
        <f t="shared" si="4"/>
        <v>2000</v>
      </c>
      <c r="J28" s="281">
        <f t="shared" si="3"/>
        <v>1538</v>
      </c>
      <c r="K28" s="281" t="s">
        <v>1395</v>
      </c>
    </row>
    <row r="29" spans="1:11" ht="16.2" thickBot="1" x14ac:dyDescent="0.35">
      <c r="A29" s="315">
        <v>14</v>
      </c>
      <c r="B29" s="131" t="s">
        <v>518</v>
      </c>
      <c r="C29" s="315"/>
      <c r="D29" s="281">
        <v>3538</v>
      </c>
      <c r="E29" s="281"/>
      <c r="F29" s="281"/>
      <c r="G29" s="281"/>
      <c r="H29" s="281"/>
      <c r="I29" s="281">
        <f t="shared" si="4"/>
        <v>0</v>
      </c>
      <c r="J29" s="281">
        <f t="shared" si="3"/>
        <v>3538</v>
      </c>
      <c r="K29" s="281"/>
    </row>
    <row r="30" spans="1:11" ht="16.2" thickBot="1" x14ac:dyDescent="0.35">
      <c r="A30" s="315">
        <v>15</v>
      </c>
      <c r="B30" s="112" t="s">
        <v>516</v>
      </c>
      <c r="C30" s="292">
        <v>1453</v>
      </c>
      <c r="D30" s="281">
        <v>3538</v>
      </c>
      <c r="E30" s="281">
        <v>1000</v>
      </c>
      <c r="F30" s="281">
        <v>1000</v>
      </c>
      <c r="G30" s="281"/>
      <c r="H30" s="281"/>
      <c r="I30" s="281">
        <f t="shared" si="4"/>
        <v>2000</v>
      </c>
      <c r="J30" s="281">
        <f t="shared" si="3"/>
        <v>1538</v>
      </c>
      <c r="K30" s="281" t="s">
        <v>1395</v>
      </c>
    </row>
    <row r="31" spans="1:11" ht="16.2" thickBot="1" x14ac:dyDescent="0.35">
      <c r="A31" s="315">
        <v>16</v>
      </c>
      <c r="B31" s="135" t="s">
        <v>1146</v>
      </c>
      <c r="C31" s="287"/>
      <c r="D31" s="281">
        <v>3538</v>
      </c>
      <c r="E31" s="284"/>
      <c r="F31" s="284"/>
      <c r="G31" s="284"/>
      <c r="H31" s="284"/>
      <c r="I31" s="284">
        <f t="shared" si="4"/>
        <v>0</v>
      </c>
      <c r="J31" s="284">
        <f t="shared" si="3"/>
        <v>3538</v>
      </c>
      <c r="K31" s="352"/>
    </row>
    <row r="32" spans="1:11" ht="15.6" x14ac:dyDescent="0.3">
      <c r="A32" s="148"/>
      <c r="B32" s="148"/>
      <c r="C32" s="148"/>
      <c r="D32" s="494">
        <f>SUM(D16:D31)</f>
        <v>56608</v>
      </c>
      <c r="E32" s="494">
        <f t="shared" ref="E32:J32" si="5">SUM(E16:E31)</f>
        <v>25781</v>
      </c>
      <c r="F32" s="494">
        <f t="shared" si="5"/>
        <v>1000</v>
      </c>
      <c r="G32" s="494">
        <f t="shared" si="5"/>
        <v>0</v>
      </c>
      <c r="H32" s="494">
        <f t="shared" si="5"/>
        <v>0</v>
      </c>
      <c r="I32" s="494">
        <f t="shared" si="5"/>
        <v>26781</v>
      </c>
      <c r="J32" s="494">
        <f t="shared" si="5"/>
        <v>29827</v>
      </c>
      <c r="K32" s="148"/>
    </row>
    <row r="33" spans="1:12" ht="15.6" x14ac:dyDescent="0.3">
      <c r="A33" s="143"/>
      <c r="B33" s="143"/>
      <c r="C33" s="143"/>
      <c r="D33" s="142"/>
      <c r="E33" s="142"/>
      <c r="F33" s="142"/>
      <c r="G33" s="142"/>
      <c r="H33" s="142"/>
      <c r="I33" s="142"/>
      <c r="J33" s="142"/>
      <c r="K33" s="143"/>
    </row>
    <row r="34" spans="1:12" ht="15.6" x14ac:dyDescent="0.3">
      <c r="A34" s="280"/>
      <c r="B34" s="280"/>
      <c r="C34" s="280"/>
      <c r="D34" s="279"/>
      <c r="E34" s="279"/>
      <c r="F34" s="279"/>
      <c r="G34" s="279"/>
      <c r="H34" s="279"/>
      <c r="I34" s="279"/>
      <c r="J34" s="279"/>
      <c r="K34" s="280"/>
    </row>
    <row r="35" spans="1:12" ht="16.2" thickBot="1" x14ac:dyDescent="0.35">
      <c r="A35" s="362" t="s">
        <v>1246</v>
      </c>
      <c r="B35" s="309"/>
      <c r="C35" s="363"/>
      <c r="D35" s="363"/>
      <c r="E35" s="363"/>
      <c r="F35" s="363"/>
      <c r="G35" s="363"/>
      <c r="H35" s="363"/>
      <c r="I35" s="363"/>
      <c r="J35" s="363"/>
      <c r="K35" s="420"/>
    </row>
    <row r="36" spans="1:12" ht="27.6" thickBot="1" x14ac:dyDescent="0.35">
      <c r="A36" s="354" t="s">
        <v>0</v>
      </c>
      <c r="B36" s="295" t="s">
        <v>1</v>
      </c>
      <c r="C36" s="354" t="s">
        <v>2</v>
      </c>
      <c r="D36" s="355" t="s">
        <v>854</v>
      </c>
      <c r="E36" s="573" t="s">
        <v>855</v>
      </c>
      <c r="F36" s="574"/>
      <c r="G36" s="574"/>
      <c r="H36" s="575"/>
      <c r="I36" s="416"/>
      <c r="J36" s="357" t="s">
        <v>856</v>
      </c>
      <c r="K36" s="351"/>
    </row>
    <row r="37" spans="1:12" ht="16.2" thickBot="1" x14ac:dyDescent="0.35">
      <c r="A37" s="315">
        <v>1</v>
      </c>
      <c r="B37" s="132" t="s">
        <v>49</v>
      </c>
      <c r="C37" s="315">
        <v>2506</v>
      </c>
      <c r="D37" s="281">
        <v>3203</v>
      </c>
      <c r="E37" s="281">
        <v>3203</v>
      </c>
      <c r="F37" s="281"/>
      <c r="G37" s="281"/>
      <c r="H37" s="281"/>
      <c r="I37" s="281">
        <f>SUM(E37:H37)</f>
        <v>3203</v>
      </c>
      <c r="J37" s="281">
        <f t="shared" ref="J37:J46" si="6">D37-E37-F37-G37-H37</f>
        <v>0</v>
      </c>
      <c r="K37" s="351" t="s">
        <v>1395</v>
      </c>
    </row>
    <row r="38" spans="1:12" ht="16.2" thickBot="1" x14ac:dyDescent="0.35">
      <c r="A38" s="315">
        <v>2</v>
      </c>
      <c r="B38" s="112" t="s">
        <v>512</v>
      </c>
      <c r="C38" s="292">
        <v>2720</v>
      </c>
      <c r="D38" s="281">
        <v>3203</v>
      </c>
      <c r="E38" s="281">
        <v>2000</v>
      </c>
      <c r="F38" s="281">
        <v>1205</v>
      </c>
      <c r="G38" s="281"/>
      <c r="H38" s="281"/>
      <c r="I38" s="281">
        <f t="shared" ref="I38:I46" si="7">SUM(E38:H38)</f>
        <v>3205</v>
      </c>
      <c r="J38" s="281">
        <f t="shared" si="6"/>
        <v>-2</v>
      </c>
      <c r="K38" s="351" t="s">
        <v>1395</v>
      </c>
      <c r="L38" s="294" t="s">
        <v>1725</v>
      </c>
    </row>
    <row r="39" spans="1:12" ht="16.2" thickBot="1" x14ac:dyDescent="0.35">
      <c r="A39" s="315">
        <v>3</v>
      </c>
      <c r="B39" s="132" t="s">
        <v>81</v>
      </c>
      <c r="C39" s="315">
        <v>2512</v>
      </c>
      <c r="D39" s="281">
        <v>3203</v>
      </c>
      <c r="E39" s="281">
        <v>1000</v>
      </c>
      <c r="F39" s="537">
        <v>1116</v>
      </c>
      <c r="G39" s="281"/>
      <c r="H39" s="281"/>
      <c r="I39" s="281">
        <f t="shared" si="7"/>
        <v>2116</v>
      </c>
      <c r="J39" s="281">
        <f t="shared" si="6"/>
        <v>1087</v>
      </c>
      <c r="K39" s="351" t="s">
        <v>1395</v>
      </c>
      <c r="L39" s="294" t="s">
        <v>1740</v>
      </c>
    </row>
    <row r="40" spans="1:12" ht="16.2" thickBot="1" x14ac:dyDescent="0.35">
      <c r="A40" s="315">
        <v>4</v>
      </c>
      <c r="B40" s="112" t="s">
        <v>511</v>
      </c>
      <c r="C40" s="292">
        <v>2513</v>
      </c>
      <c r="D40" s="281">
        <v>3203</v>
      </c>
      <c r="E40" s="281">
        <v>2503</v>
      </c>
      <c r="F40" s="281">
        <v>700</v>
      </c>
      <c r="G40" s="281"/>
      <c r="H40" s="281"/>
      <c r="I40" s="281">
        <f t="shared" si="7"/>
        <v>3203</v>
      </c>
      <c r="J40" s="281">
        <f t="shared" si="6"/>
        <v>0</v>
      </c>
      <c r="K40" s="351" t="s">
        <v>1395</v>
      </c>
    </row>
    <row r="41" spans="1:12" ht="16.2" thickBot="1" x14ac:dyDescent="0.35">
      <c r="A41" s="315">
        <v>5</v>
      </c>
      <c r="B41" s="134" t="s">
        <v>220</v>
      </c>
      <c r="C41" s="315">
        <v>2517</v>
      </c>
      <c r="D41" s="281">
        <v>3203</v>
      </c>
      <c r="E41" s="281">
        <v>1716</v>
      </c>
      <c r="F41" s="281"/>
      <c r="G41" s="281"/>
      <c r="H41" s="281"/>
      <c r="I41" s="281">
        <f t="shared" si="7"/>
        <v>1716</v>
      </c>
      <c r="J41" s="281">
        <f t="shared" si="6"/>
        <v>1487</v>
      </c>
      <c r="K41" s="351"/>
    </row>
    <row r="42" spans="1:12" ht="16.2" thickBot="1" x14ac:dyDescent="0.35">
      <c r="A42" s="315">
        <v>6</v>
      </c>
      <c r="B42" s="112" t="s">
        <v>279</v>
      </c>
      <c r="C42" s="292">
        <v>2515</v>
      </c>
      <c r="D42" s="281">
        <v>3203</v>
      </c>
      <c r="E42" s="281">
        <v>3205</v>
      </c>
      <c r="F42" s="281"/>
      <c r="G42" s="281"/>
      <c r="H42" s="281"/>
      <c r="I42" s="281">
        <f t="shared" si="7"/>
        <v>3205</v>
      </c>
      <c r="J42" s="281">
        <f t="shared" si="6"/>
        <v>-2</v>
      </c>
      <c r="K42" s="351" t="s">
        <v>1395</v>
      </c>
    </row>
    <row r="43" spans="1:12" ht="16.2" thickBot="1" x14ac:dyDescent="0.35">
      <c r="A43" s="315">
        <v>7</v>
      </c>
      <c r="B43" s="112" t="s">
        <v>870</v>
      </c>
      <c r="C43" s="292">
        <v>2510</v>
      </c>
      <c r="D43" s="281">
        <v>3203</v>
      </c>
      <c r="E43" s="281">
        <v>2669</v>
      </c>
      <c r="F43" s="281"/>
      <c r="G43" s="281"/>
      <c r="H43" s="281"/>
      <c r="I43" s="281">
        <f t="shared" si="7"/>
        <v>2669</v>
      </c>
      <c r="J43" s="281">
        <f t="shared" si="6"/>
        <v>534</v>
      </c>
      <c r="K43" s="351"/>
    </row>
    <row r="44" spans="1:12" ht="16.2" thickBot="1" x14ac:dyDescent="0.35">
      <c r="A44" s="315">
        <v>8</v>
      </c>
      <c r="B44" s="112" t="s">
        <v>1173</v>
      </c>
      <c r="C44" s="292">
        <v>2511</v>
      </c>
      <c r="D44" s="281">
        <v>3203</v>
      </c>
      <c r="E44" s="281">
        <v>2000</v>
      </c>
      <c r="F44" s="281"/>
      <c r="G44" s="281"/>
      <c r="H44" s="281"/>
      <c r="I44" s="281">
        <f t="shared" si="7"/>
        <v>2000</v>
      </c>
      <c r="J44" s="281">
        <f t="shared" si="6"/>
        <v>1203</v>
      </c>
      <c r="K44" s="351"/>
    </row>
    <row r="45" spans="1:12" ht="16.2" thickBot="1" x14ac:dyDescent="0.35">
      <c r="A45" s="315">
        <v>9</v>
      </c>
      <c r="B45" s="133" t="s">
        <v>990</v>
      </c>
      <c r="C45" s="292">
        <v>2516</v>
      </c>
      <c r="D45" s="281">
        <v>3203</v>
      </c>
      <c r="E45" s="281"/>
      <c r="F45" s="281"/>
      <c r="G45" s="281"/>
      <c r="H45" s="281"/>
      <c r="I45" s="281">
        <f t="shared" si="7"/>
        <v>0</v>
      </c>
      <c r="J45" s="281">
        <f t="shared" si="6"/>
        <v>3203</v>
      </c>
      <c r="K45" s="351"/>
    </row>
    <row r="46" spans="1:12" ht="16.2" thickBot="1" x14ac:dyDescent="0.35">
      <c r="A46" s="315">
        <v>10</v>
      </c>
      <c r="B46" s="135" t="s">
        <v>1174</v>
      </c>
      <c r="C46" s="316">
        <v>2514</v>
      </c>
      <c r="D46" s="281">
        <v>3203</v>
      </c>
      <c r="E46" s="284"/>
      <c r="F46" s="284"/>
      <c r="G46" s="284"/>
      <c r="H46" s="284"/>
      <c r="I46" s="284">
        <f t="shared" si="7"/>
        <v>0</v>
      </c>
      <c r="J46" s="281">
        <f t="shared" si="6"/>
        <v>3203</v>
      </c>
      <c r="K46" s="352"/>
    </row>
    <row r="47" spans="1:12" ht="15.6" x14ac:dyDescent="0.3">
      <c r="A47" s="145"/>
      <c r="B47" s="146"/>
      <c r="C47" s="365"/>
      <c r="D47" s="494">
        <f>SUM(D37:D46)</f>
        <v>32030</v>
      </c>
      <c r="E47" s="494">
        <f t="shared" ref="E47:J47" si="8">SUM(E37:E46)</f>
        <v>18296</v>
      </c>
      <c r="F47" s="494">
        <f t="shared" si="8"/>
        <v>3021</v>
      </c>
      <c r="G47" s="494">
        <f t="shared" si="8"/>
        <v>0</v>
      </c>
      <c r="H47" s="494">
        <f t="shared" si="8"/>
        <v>0</v>
      </c>
      <c r="I47" s="494">
        <f t="shared" si="8"/>
        <v>21317</v>
      </c>
      <c r="J47" s="494">
        <f t="shared" si="8"/>
        <v>10713</v>
      </c>
      <c r="K47" s="148"/>
    </row>
    <row r="48" spans="1:12" ht="15.6" x14ac:dyDescent="0.3">
      <c r="A48" s="141"/>
      <c r="B48" s="300"/>
      <c r="C48" s="141"/>
      <c r="D48" s="142"/>
      <c r="E48" s="142"/>
      <c r="F48" s="142"/>
      <c r="G48" s="142"/>
      <c r="H48" s="142"/>
      <c r="I48" s="142"/>
      <c r="J48" s="142"/>
      <c r="K48" s="143"/>
    </row>
    <row r="49" spans="1:11" ht="15.6" x14ac:dyDescent="0.3">
      <c r="A49" s="280"/>
      <c r="B49" s="280"/>
      <c r="C49" s="280"/>
      <c r="D49" s="279"/>
      <c r="E49" s="279"/>
      <c r="F49" s="279"/>
      <c r="G49" s="279"/>
      <c r="H49" s="279"/>
      <c r="I49" s="279"/>
      <c r="J49" s="279"/>
      <c r="K49" s="280"/>
    </row>
    <row r="50" spans="1:11" ht="16.2" thickBot="1" x14ac:dyDescent="0.35">
      <c r="A50" s="362" t="s">
        <v>1247</v>
      </c>
      <c r="B50" s="309"/>
      <c r="C50" s="363"/>
      <c r="D50" s="363"/>
      <c r="E50" s="363"/>
      <c r="F50" s="363"/>
      <c r="G50" s="363"/>
      <c r="H50" s="363"/>
      <c r="I50" s="363"/>
      <c r="J50" s="363"/>
      <c r="K50" s="420"/>
    </row>
    <row r="51" spans="1:11" ht="27.6" thickBot="1" x14ac:dyDescent="0.35">
      <c r="A51" s="354" t="s">
        <v>0</v>
      </c>
      <c r="B51" s="295" t="s">
        <v>1</v>
      </c>
      <c r="C51" s="354" t="s">
        <v>2</v>
      </c>
      <c r="D51" s="355" t="s">
        <v>854</v>
      </c>
      <c r="E51" s="573" t="s">
        <v>855</v>
      </c>
      <c r="F51" s="574"/>
      <c r="G51" s="574"/>
      <c r="H51" s="575"/>
      <c r="I51" s="416"/>
      <c r="J51" s="357" t="s">
        <v>856</v>
      </c>
      <c r="K51" s="351"/>
    </row>
    <row r="52" spans="1:11" ht="16.2" thickBot="1" x14ac:dyDescent="0.35">
      <c r="A52" s="315">
        <v>1</v>
      </c>
      <c r="B52" s="132" t="s">
        <v>531</v>
      </c>
      <c r="C52" s="315">
        <v>708</v>
      </c>
      <c r="D52" s="281">
        <v>2744</v>
      </c>
      <c r="E52" s="281">
        <v>1000</v>
      </c>
      <c r="F52" s="281"/>
      <c r="G52" s="281"/>
      <c r="H52" s="281"/>
      <c r="I52" s="281">
        <f t="shared" ref="I52:I57" si="9">SUM(E52:H52)</f>
        <v>1000</v>
      </c>
      <c r="J52" s="281">
        <f t="shared" ref="J52:J57" si="10">D52-E52-F52-G52-H52</f>
        <v>1744</v>
      </c>
      <c r="K52" s="351" t="s">
        <v>1395</v>
      </c>
    </row>
    <row r="53" spans="1:11" ht="16.2" thickBot="1" x14ac:dyDescent="0.35">
      <c r="A53" s="315">
        <v>2</v>
      </c>
      <c r="B53" s="134" t="s">
        <v>510</v>
      </c>
      <c r="C53" s="315">
        <v>2507</v>
      </c>
      <c r="D53" s="281">
        <v>2744</v>
      </c>
      <c r="E53" s="281">
        <v>2750</v>
      </c>
      <c r="F53" s="281"/>
      <c r="G53" s="281"/>
      <c r="H53" s="281"/>
      <c r="I53" s="281">
        <f t="shared" si="9"/>
        <v>2750</v>
      </c>
      <c r="J53" s="281">
        <f t="shared" si="10"/>
        <v>-6</v>
      </c>
      <c r="K53" s="351" t="s">
        <v>1395</v>
      </c>
    </row>
    <row r="54" spans="1:11" ht="16.2" thickBot="1" x14ac:dyDescent="0.35">
      <c r="A54" s="315">
        <v>3</v>
      </c>
      <c r="B54" s="112" t="s">
        <v>650</v>
      </c>
      <c r="C54" s="292">
        <v>1764</v>
      </c>
      <c r="D54" s="281">
        <v>2744</v>
      </c>
      <c r="E54" s="281">
        <v>1500</v>
      </c>
      <c r="F54" s="281">
        <v>1244</v>
      </c>
      <c r="G54" s="281"/>
      <c r="H54" s="281"/>
      <c r="I54" s="281">
        <f t="shared" si="9"/>
        <v>2744</v>
      </c>
      <c r="J54" s="281">
        <f t="shared" si="10"/>
        <v>0</v>
      </c>
      <c r="K54" s="351" t="s">
        <v>1395</v>
      </c>
    </row>
    <row r="55" spans="1:11" ht="16.2" thickBot="1" x14ac:dyDescent="0.35">
      <c r="A55" s="315">
        <v>4</v>
      </c>
      <c r="B55" s="132" t="s">
        <v>509</v>
      </c>
      <c r="C55" s="315">
        <v>1766</v>
      </c>
      <c r="D55" s="281">
        <v>2744</v>
      </c>
      <c r="E55" s="281">
        <v>2744</v>
      </c>
      <c r="F55" s="281"/>
      <c r="G55" s="281"/>
      <c r="H55" s="281"/>
      <c r="I55" s="281">
        <f t="shared" si="9"/>
        <v>2744</v>
      </c>
      <c r="J55" s="281">
        <f t="shared" si="10"/>
        <v>0</v>
      </c>
      <c r="K55" s="351" t="s">
        <v>1395</v>
      </c>
    </row>
    <row r="56" spans="1:11" ht="16.2" thickBot="1" x14ac:dyDescent="0.35">
      <c r="A56" s="315">
        <v>5</v>
      </c>
      <c r="B56" s="112" t="s">
        <v>687</v>
      </c>
      <c r="C56" s="292">
        <v>1767</v>
      </c>
      <c r="D56" s="281">
        <v>2744</v>
      </c>
      <c r="E56" s="281"/>
      <c r="F56" s="281"/>
      <c r="G56" s="281"/>
      <c r="H56" s="281"/>
      <c r="I56" s="281">
        <f t="shared" si="9"/>
        <v>0</v>
      </c>
      <c r="J56" s="281">
        <f t="shared" si="10"/>
        <v>2744</v>
      </c>
      <c r="K56" s="351"/>
    </row>
    <row r="57" spans="1:11" ht="15.6" x14ac:dyDescent="0.3">
      <c r="A57" s="421">
        <v>6</v>
      </c>
      <c r="B57" s="386" t="s">
        <v>1745</v>
      </c>
      <c r="C57" s="385">
        <v>1765</v>
      </c>
      <c r="D57" s="387">
        <v>2744</v>
      </c>
      <c r="E57" s="387">
        <v>1222</v>
      </c>
      <c r="F57" s="387">
        <v>150</v>
      </c>
      <c r="G57" s="387">
        <v>1372</v>
      </c>
      <c r="H57" s="387"/>
      <c r="I57" s="387">
        <f t="shared" si="9"/>
        <v>2744</v>
      </c>
      <c r="J57" s="387">
        <f t="shared" si="10"/>
        <v>0</v>
      </c>
      <c r="K57" s="352"/>
    </row>
    <row r="58" spans="1:11" ht="15.6" x14ac:dyDescent="0.3">
      <c r="A58" s="277"/>
      <c r="B58" s="300"/>
      <c r="C58" s="141"/>
      <c r="D58" s="142"/>
      <c r="E58" s="142"/>
      <c r="F58" s="142"/>
      <c r="G58" s="142"/>
      <c r="H58" s="142"/>
      <c r="I58" s="142"/>
      <c r="J58" s="142"/>
      <c r="K58" s="143"/>
    </row>
    <row r="59" spans="1:11" ht="15.6" x14ac:dyDescent="0.3">
      <c r="A59" s="145"/>
      <c r="B59" s="146"/>
      <c r="C59" s="145"/>
      <c r="D59" s="494">
        <f>SUM(D52:D57)</f>
        <v>16464</v>
      </c>
      <c r="E59" s="494">
        <f t="shared" ref="E59:J59" si="11">SUM(E52:E57)</f>
        <v>9216</v>
      </c>
      <c r="F59" s="494">
        <f t="shared" si="11"/>
        <v>1394</v>
      </c>
      <c r="G59" s="494">
        <f t="shared" si="11"/>
        <v>1372</v>
      </c>
      <c r="H59" s="494">
        <f t="shared" si="11"/>
        <v>0</v>
      </c>
      <c r="I59" s="494">
        <f t="shared" si="11"/>
        <v>11982</v>
      </c>
      <c r="J59" s="494">
        <f t="shared" si="11"/>
        <v>4482</v>
      </c>
      <c r="K59" s="148"/>
    </row>
    <row r="60" spans="1:11" ht="15.6" x14ac:dyDescent="0.3">
      <c r="A60" s="141"/>
      <c r="B60" s="144"/>
      <c r="C60" s="141"/>
      <c r="D60" s="142"/>
      <c r="E60" s="142"/>
      <c r="F60" s="142"/>
      <c r="G60" s="142"/>
      <c r="H60" s="142"/>
      <c r="I60" s="142"/>
      <c r="J60" s="142"/>
      <c r="K60" s="143"/>
    </row>
    <row r="61" spans="1:11" ht="15.6" x14ac:dyDescent="0.3">
      <c r="A61" s="280"/>
      <c r="B61" s="280"/>
      <c r="C61" s="280"/>
      <c r="D61" s="279"/>
      <c r="E61" s="279"/>
      <c r="F61" s="279"/>
      <c r="G61" s="279"/>
      <c r="H61" s="279"/>
      <c r="I61" s="279"/>
      <c r="J61" s="279"/>
      <c r="K61" s="280"/>
    </row>
    <row r="62" spans="1:11" ht="16.2" thickBot="1" x14ac:dyDescent="0.35">
      <c r="A62" s="362" t="s">
        <v>16</v>
      </c>
      <c r="B62" s="309"/>
      <c r="C62" s="363"/>
      <c r="D62" s="363"/>
      <c r="E62" s="363"/>
      <c r="F62" s="363"/>
      <c r="G62" s="363"/>
      <c r="H62" s="363"/>
      <c r="I62" s="363"/>
      <c r="J62" s="363"/>
      <c r="K62" s="420"/>
    </row>
    <row r="63" spans="1:11" ht="27.6" thickBot="1" x14ac:dyDescent="0.35">
      <c r="A63" s="354" t="s">
        <v>0</v>
      </c>
      <c r="B63" s="295" t="s">
        <v>1</v>
      </c>
      <c r="C63" s="354" t="s">
        <v>2</v>
      </c>
      <c r="D63" s="355" t="s">
        <v>854</v>
      </c>
      <c r="E63" s="573" t="s">
        <v>855</v>
      </c>
      <c r="F63" s="574"/>
      <c r="G63" s="574"/>
      <c r="H63" s="575"/>
      <c r="I63" s="416"/>
      <c r="J63" s="357" t="s">
        <v>856</v>
      </c>
      <c r="K63" s="351"/>
    </row>
    <row r="64" spans="1:11" ht="16.2" thickBot="1" x14ac:dyDescent="0.35">
      <c r="A64" s="315">
        <v>1</v>
      </c>
      <c r="B64" s="112" t="s">
        <v>1404</v>
      </c>
      <c r="C64" s="292"/>
      <c r="D64" s="281">
        <v>6672</v>
      </c>
      <c r="E64" s="281">
        <v>2040</v>
      </c>
      <c r="F64" s="281">
        <v>2500</v>
      </c>
      <c r="G64" s="281"/>
      <c r="H64" s="281"/>
      <c r="I64" s="281">
        <f>SUM(E64:H64)</f>
        <v>4540</v>
      </c>
      <c r="J64" s="281">
        <f t="shared" ref="J64:J67" si="12">D64-E64-F64-G64-H64</f>
        <v>2132</v>
      </c>
      <c r="K64" s="351" t="s">
        <v>1395</v>
      </c>
    </row>
    <row r="65" spans="1:11" ht="16.2" thickBot="1" x14ac:dyDescent="0.35">
      <c r="A65" s="315">
        <v>2</v>
      </c>
      <c r="B65" s="112" t="s">
        <v>1498</v>
      </c>
      <c r="C65" s="292"/>
      <c r="D65" s="281">
        <v>6672</v>
      </c>
      <c r="E65" s="281">
        <v>2040</v>
      </c>
      <c r="F65" s="281">
        <v>2000</v>
      </c>
      <c r="G65" s="281"/>
      <c r="H65" s="281"/>
      <c r="I65" s="281">
        <f t="shared" ref="I65:I67" si="13">SUM(E65:H65)</f>
        <v>4040</v>
      </c>
      <c r="J65" s="281">
        <f t="shared" si="12"/>
        <v>2632</v>
      </c>
      <c r="K65" s="351" t="s">
        <v>1395</v>
      </c>
    </row>
    <row r="66" spans="1:11" ht="16.2" thickBot="1" x14ac:dyDescent="0.35">
      <c r="A66" s="315">
        <v>3</v>
      </c>
      <c r="C66" s="292"/>
      <c r="D66" s="281">
        <v>6672</v>
      </c>
      <c r="E66" s="281">
        <v>2040</v>
      </c>
      <c r="F66" s="281"/>
      <c r="G66" s="281"/>
      <c r="H66" s="281"/>
      <c r="I66" s="281">
        <f t="shared" si="13"/>
        <v>2040</v>
      </c>
      <c r="J66" s="281">
        <f t="shared" si="12"/>
        <v>4632</v>
      </c>
      <c r="K66" s="351"/>
    </row>
    <row r="67" spans="1:11" ht="16.2" thickBot="1" x14ac:dyDescent="0.35">
      <c r="A67" s="315">
        <v>4</v>
      </c>
      <c r="B67" s="131"/>
      <c r="C67" s="315"/>
      <c r="D67" s="281">
        <v>6672</v>
      </c>
      <c r="E67" s="281"/>
      <c r="F67" s="281"/>
      <c r="G67" s="281"/>
      <c r="H67" s="281"/>
      <c r="I67" s="281">
        <f t="shared" si="13"/>
        <v>0</v>
      </c>
      <c r="J67" s="281">
        <f t="shared" si="12"/>
        <v>6672</v>
      </c>
      <c r="K67" s="351"/>
    </row>
    <row r="68" spans="1:11" ht="15.6" x14ac:dyDescent="0.3">
      <c r="A68" s="143"/>
      <c r="B68" s="143"/>
      <c r="C68" s="143"/>
      <c r="D68" s="495">
        <f>SUM(D64:D67)</f>
        <v>26688</v>
      </c>
      <c r="E68" s="495">
        <f t="shared" ref="E68:J68" si="14">SUM(E64:E67)</f>
        <v>6120</v>
      </c>
      <c r="F68" s="495">
        <f t="shared" si="14"/>
        <v>4500</v>
      </c>
      <c r="G68" s="495">
        <f t="shared" si="14"/>
        <v>0</v>
      </c>
      <c r="H68" s="495">
        <f t="shared" si="14"/>
        <v>0</v>
      </c>
      <c r="I68" s="495">
        <f t="shared" si="14"/>
        <v>10620</v>
      </c>
      <c r="J68" s="495">
        <f t="shared" si="14"/>
        <v>16068</v>
      </c>
      <c r="K68" s="143"/>
    </row>
    <row r="69" spans="1:11" ht="15.6" x14ac:dyDescent="0.3">
      <c r="A69" s="143"/>
      <c r="B69" s="143"/>
      <c r="C69" s="143"/>
      <c r="D69" s="142"/>
      <c r="E69" s="142"/>
      <c r="F69" s="142"/>
      <c r="G69" s="142"/>
      <c r="H69" s="142"/>
      <c r="I69" s="142"/>
      <c r="J69" s="142"/>
      <c r="K69" s="143"/>
    </row>
    <row r="70" spans="1:11" ht="15.6" x14ac:dyDescent="0.3">
      <c r="A70" s="143"/>
      <c r="B70" s="143"/>
      <c r="C70" s="143"/>
      <c r="D70" s="142"/>
      <c r="E70" s="142"/>
      <c r="F70" s="142"/>
      <c r="G70" s="142"/>
      <c r="H70" s="142"/>
      <c r="I70" s="142"/>
      <c r="J70" s="142"/>
      <c r="K70" s="143"/>
    </row>
    <row r="71" spans="1:11" ht="16.2" thickBot="1" x14ac:dyDescent="0.35">
      <c r="A71" s="362" t="s">
        <v>1248</v>
      </c>
      <c r="B71" s="309"/>
      <c r="C71" s="363"/>
      <c r="D71" s="363"/>
      <c r="E71" s="363"/>
      <c r="F71" s="363"/>
      <c r="G71" s="363"/>
      <c r="H71" s="363"/>
      <c r="I71" s="363"/>
      <c r="J71" s="363"/>
      <c r="K71" s="420"/>
    </row>
    <row r="72" spans="1:11" ht="27.6" thickBot="1" x14ac:dyDescent="0.35">
      <c r="A72" s="354" t="s">
        <v>0</v>
      </c>
      <c r="B72" s="295" t="s">
        <v>1</v>
      </c>
      <c r="C72" s="354" t="s">
        <v>2</v>
      </c>
      <c r="D72" s="355" t="s">
        <v>854</v>
      </c>
      <c r="E72" s="573" t="s">
        <v>855</v>
      </c>
      <c r="F72" s="574"/>
      <c r="G72" s="574"/>
      <c r="H72" s="575"/>
      <c r="I72" s="416"/>
      <c r="J72" s="357" t="s">
        <v>856</v>
      </c>
      <c r="K72" s="351"/>
    </row>
    <row r="73" spans="1:11" ht="16.2" thickBot="1" x14ac:dyDescent="0.35">
      <c r="A73" s="315">
        <v>1</v>
      </c>
      <c r="B73" s="112" t="s">
        <v>532</v>
      </c>
      <c r="C73" s="292"/>
      <c r="D73" s="496">
        <v>3538</v>
      </c>
      <c r="E73" s="281">
        <v>2000</v>
      </c>
      <c r="F73" s="281"/>
      <c r="G73" s="281"/>
      <c r="H73" s="281"/>
      <c r="I73" s="281">
        <f>SUM(E73:H73)</f>
        <v>2000</v>
      </c>
      <c r="J73" s="281">
        <f t="shared" ref="J73:J79" si="15">D73-E73-F73-G73-H73</f>
        <v>1538</v>
      </c>
      <c r="K73" s="351"/>
    </row>
    <row r="74" spans="1:11" ht="16.2" thickBot="1" x14ac:dyDescent="0.35">
      <c r="A74" s="315">
        <v>2</v>
      </c>
      <c r="B74" s="112" t="s">
        <v>535</v>
      </c>
      <c r="C74" s="292">
        <v>3064</v>
      </c>
      <c r="D74" s="496">
        <v>3538</v>
      </c>
      <c r="E74" s="281">
        <v>2000</v>
      </c>
      <c r="F74" s="281"/>
      <c r="G74" s="281"/>
      <c r="H74" s="281"/>
      <c r="I74" s="281">
        <f t="shared" ref="I74:I79" si="16">SUM(E74:H74)</f>
        <v>2000</v>
      </c>
      <c r="J74" s="281">
        <f t="shared" si="15"/>
        <v>1538</v>
      </c>
      <c r="K74" s="351" t="s">
        <v>1395</v>
      </c>
    </row>
    <row r="75" spans="1:11" ht="16.2" thickBot="1" x14ac:dyDescent="0.35">
      <c r="A75" s="315">
        <v>3</v>
      </c>
      <c r="B75" s="112" t="s">
        <v>849</v>
      </c>
      <c r="C75" s="292"/>
      <c r="D75" s="496">
        <v>3538</v>
      </c>
      <c r="E75" s="281"/>
      <c r="F75" s="281"/>
      <c r="G75" s="281"/>
      <c r="H75" s="281"/>
      <c r="I75" s="281">
        <f t="shared" si="16"/>
        <v>0</v>
      </c>
      <c r="J75" s="281">
        <f t="shared" si="15"/>
        <v>3538</v>
      </c>
      <c r="K75" s="351"/>
    </row>
    <row r="76" spans="1:11" ht="16.2" thickBot="1" x14ac:dyDescent="0.35">
      <c r="A76" s="315">
        <v>4</v>
      </c>
      <c r="B76" s="131" t="s">
        <v>534</v>
      </c>
      <c r="C76" s="315">
        <v>3080</v>
      </c>
      <c r="D76" s="496">
        <v>3538</v>
      </c>
      <c r="E76" s="281">
        <v>850</v>
      </c>
      <c r="F76" s="281"/>
      <c r="G76" s="281"/>
      <c r="H76" s="281"/>
      <c r="I76" s="281">
        <f t="shared" si="16"/>
        <v>850</v>
      </c>
      <c r="J76" s="281">
        <f t="shared" si="15"/>
        <v>2688</v>
      </c>
      <c r="K76" s="351"/>
    </row>
    <row r="77" spans="1:11" ht="16.2" thickBot="1" x14ac:dyDescent="0.35">
      <c r="A77" s="315">
        <v>5</v>
      </c>
      <c r="B77" s="112" t="s">
        <v>533</v>
      </c>
      <c r="C77" s="292">
        <v>3067</v>
      </c>
      <c r="D77" s="496">
        <v>3538</v>
      </c>
      <c r="E77" s="281"/>
      <c r="F77" s="281"/>
      <c r="G77" s="281"/>
      <c r="H77" s="281"/>
      <c r="I77" s="281">
        <f t="shared" si="16"/>
        <v>0</v>
      </c>
      <c r="J77" s="281">
        <f t="shared" si="15"/>
        <v>3538</v>
      </c>
      <c r="K77" s="351"/>
    </row>
    <row r="78" spans="1:11" ht="16.2" thickBot="1" x14ac:dyDescent="0.35">
      <c r="A78" s="315">
        <v>6</v>
      </c>
      <c r="B78" s="112" t="s">
        <v>513</v>
      </c>
      <c r="C78" s="267">
        <v>3069</v>
      </c>
      <c r="D78" s="496">
        <v>3538</v>
      </c>
      <c r="E78" s="281">
        <v>7000</v>
      </c>
      <c r="F78" s="281"/>
      <c r="G78" s="281"/>
      <c r="H78" s="281"/>
      <c r="I78" s="281">
        <f t="shared" si="16"/>
        <v>7000</v>
      </c>
      <c r="J78" s="281">
        <f t="shared" si="15"/>
        <v>-3462</v>
      </c>
      <c r="K78" s="351" t="s">
        <v>1395</v>
      </c>
    </row>
    <row r="79" spans="1:11" ht="16.2" thickBot="1" x14ac:dyDescent="0.35">
      <c r="A79" s="421">
        <v>8</v>
      </c>
      <c r="B79" s="337" t="s">
        <v>859</v>
      </c>
      <c r="C79" s="421"/>
      <c r="D79" s="496">
        <v>3538</v>
      </c>
      <c r="E79" s="387"/>
      <c r="F79" s="387"/>
      <c r="G79" s="387"/>
      <c r="H79" s="387"/>
      <c r="I79" s="387">
        <f t="shared" si="16"/>
        <v>0</v>
      </c>
      <c r="J79" s="387">
        <f t="shared" si="15"/>
        <v>3538</v>
      </c>
      <c r="K79" s="422"/>
    </row>
    <row r="80" spans="1:11" ht="15.6" x14ac:dyDescent="0.3">
      <c r="A80" s="141"/>
      <c r="B80" s="300"/>
      <c r="C80" s="141"/>
      <c r="D80" s="495">
        <f>SUM(D73:D79)</f>
        <v>24766</v>
      </c>
      <c r="E80" s="495">
        <f t="shared" ref="E80:J80" si="17">SUM(E73:E79)</f>
        <v>11850</v>
      </c>
      <c r="F80" s="495">
        <f t="shared" si="17"/>
        <v>0</v>
      </c>
      <c r="G80" s="495">
        <f t="shared" si="17"/>
        <v>0</v>
      </c>
      <c r="H80" s="495">
        <f t="shared" si="17"/>
        <v>0</v>
      </c>
      <c r="I80" s="495">
        <f t="shared" si="17"/>
        <v>11850</v>
      </c>
      <c r="J80" s="495">
        <f t="shared" si="17"/>
        <v>12916</v>
      </c>
      <c r="K80" s="143"/>
    </row>
    <row r="81" spans="1:12" ht="15.6" x14ac:dyDescent="0.3">
      <c r="A81" s="141"/>
      <c r="B81" s="300"/>
      <c r="C81" s="141"/>
      <c r="D81" s="142"/>
      <c r="E81" s="142"/>
      <c r="F81" s="142"/>
      <c r="G81" s="142"/>
      <c r="H81" s="142"/>
      <c r="I81" s="142"/>
      <c r="J81" s="142"/>
      <c r="K81" s="143"/>
    </row>
    <row r="82" spans="1:12" ht="15.6" x14ac:dyDescent="0.3">
      <c r="A82" s="280"/>
      <c r="B82" s="280"/>
      <c r="C82" s="280"/>
      <c r="D82" s="279"/>
      <c r="E82" s="279"/>
      <c r="F82" s="279"/>
      <c r="G82" s="279"/>
      <c r="H82" s="279"/>
      <c r="I82" s="279"/>
      <c r="J82" s="279"/>
      <c r="K82" s="280"/>
    </row>
    <row r="83" spans="1:12" ht="16.2" thickBot="1" x14ac:dyDescent="0.35">
      <c r="A83" s="362" t="s">
        <v>1249</v>
      </c>
      <c r="B83" s="309"/>
      <c r="C83" s="363"/>
      <c r="D83" s="363"/>
      <c r="E83" s="363"/>
      <c r="F83" s="363"/>
      <c r="G83" s="363"/>
      <c r="H83" s="363"/>
      <c r="I83" s="363"/>
      <c r="J83" s="363"/>
      <c r="K83" s="420"/>
    </row>
    <row r="84" spans="1:12" ht="27.6" thickBot="1" x14ac:dyDescent="0.35">
      <c r="A84" s="354" t="s">
        <v>0</v>
      </c>
      <c r="B84" s="295" t="s">
        <v>1</v>
      </c>
      <c r="C84" s="354" t="s">
        <v>2</v>
      </c>
      <c r="D84" s="355" t="s">
        <v>854</v>
      </c>
      <c r="E84" s="573" t="s">
        <v>855</v>
      </c>
      <c r="F84" s="574"/>
      <c r="G84" s="574"/>
      <c r="H84" s="575"/>
      <c r="I84" s="416"/>
      <c r="J84" s="357" t="s">
        <v>856</v>
      </c>
      <c r="K84" s="351"/>
    </row>
    <row r="85" spans="1:12" ht="16.2" thickBot="1" x14ac:dyDescent="0.35">
      <c r="A85" s="315">
        <v>1</v>
      </c>
      <c r="B85" s="423" t="s">
        <v>225</v>
      </c>
      <c r="C85" s="267">
        <v>2520</v>
      </c>
      <c r="D85" s="281">
        <v>3203</v>
      </c>
      <c r="E85" s="281">
        <v>2000</v>
      </c>
      <c r="F85" s="281"/>
      <c r="G85" s="281"/>
      <c r="H85" s="281"/>
      <c r="I85" s="281">
        <f>SUM(E85:H85)</f>
        <v>2000</v>
      </c>
      <c r="J85" s="281">
        <f t="shared" ref="J85:J95" si="18">D85-E85-F85-G85-H85</f>
        <v>1203</v>
      </c>
      <c r="K85" s="351" t="s">
        <v>1395</v>
      </c>
    </row>
    <row r="86" spans="1:12" ht="16.2" thickBot="1" x14ac:dyDescent="0.35">
      <c r="A86" s="315">
        <v>2</v>
      </c>
      <c r="B86" s="112" t="s">
        <v>226</v>
      </c>
      <c r="C86" s="292">
        <v>2521</v>
      </c>
      <c r="D86" s="281">
        <v>3203</v>
      </c>
      <c r="E86" s="281">
        <v>2000</v>
      </c>
      <c r="F86" s="281">
        <v>1203</v>
      </c>
      <c r="G86" s="281"/>
      <c r="H86" s="281"/>
      <c r="I86" s="281">
        <f t="shared" ref="I86:I95" si="19">SUM(E86:H86)</f>
        <v>3203</v>
      </c>
      <c r="J86" s="281">
        <f t="shared" si="18"/>
        <v>0</v>
      </c>
      <c r="K86" s="351" t="s">
        <v>1395</v>
      </c>
    </row>
    <row r="87" spans="1:12" ht="16.2" thickBot="1" x14ac:dyDescent="0.35">
      <c r="A87" s="315">
        <v>3</v>
      </c>
      <c r="B87" s="134" t="s">
        <v>82</v>
      </c>
      <c r="C87" s="267">
        <v>2522</v>
      </c>
      <c r="D87" s="281">
        <v>3203</v>
      </c>
      <c r="E87" s="281">
        <v>2000</v>
      </c>
      <c r="F87" s="281"/>
      <c r="G87" s="281"/>
      <c r="H87" s="281"/>
      <c r="I87" s="281">
        <f t="shared" si="19"/>
        <v>2000</v>
      </c>
      <c r="J87" s="281">
        <f t="shared" si="18"/>
        <v>1203</v>
      </c>
      <c r="K87" s="351"/>
      <c r="L87" s="294" t="s">
        <v>1725</v>
      </c>
    </row>
    <row r="88" spans="1:12" ht="16.2" thickBot="1" x14ac:dyDescent="0.35">
      <c r="A88" s="315">
        <v>4</v>
      </c>
      <c r="B88" s="112" t="s">
        <v>222</v>
      </c>
      <c r="C88" s="292">
        <v>2525</v>
      </c>
      <c r="D88" s="281">
        <v>3203</v>
      </c>
      <c r="E88" s="281">
        <v>800</v>
      </c>
      <c r="F88" s="281">
        <v>2403</v>
      </c>
      <c r="G88" s="281"/>
      <c r="H88" s="281"/>
      <c r="I88" s="281">
        <f t="shared" si="19"/>
        <v>3203</v>
      </c>
      <c r="J88" s="281">
        <f t="shared" si="18"/>
        <v>0</v>
      </c>
      <c r="K88" s="351" t="s">
        <v>1723</v>
      </c>
    </row>
    <row r="89" spans="1:12" ht="16.2" thickBot="1" x14ac:dyDescent="0.35">
      <c r="A89" s="315">
        <v>5</v>
      </c>
      <c r="B89" s="134" t="s">
        <v>221</v>
      </c>
      <c r="C89" s="267">
        <v>2526</v>
      </c>
      <c r="D89" s="281">
        <v>3203</v>
      </c>
      <c r="E89" s="281">
        <v>1000</v>
      </c>
      <c r="F89" s="281"/>
      <c r="G89" s="281"/>
      <c r="H89" s="281"/>
      <c r="I89" s="281">
        <f t="shared" si="19"/>
        <v>1000</v>
      </c>
      <c r="J89" s="281">
        <f t="shared" si="18"/>
        <v>2203</v>
      </c>
      <c r="K89" s="351" t="s">
        <v>1395</v>
      </c>
    </row>
    <row r="90" spans="1:12" ht="16.2" thickBot="1" x14ac:dyDescent="0.35">
      <c r="A90" s="315">
        <v>6</v>
      </c>
      <c r="B90" s="112" t="s">
        <v>224</v>
      </c>
      <c r="C90" s="292">
        <v>2527</v>
      </c>
      <c r="D90" s="281">
        <v>3203</v>
      </c>
      <c r="E90" s="281">
        <v>1000</v>
      </c>
      <c r="F90" s="281"/>
      <c r="G90" s="281"/>
      <c r="H90" s="281"/>
      <c r="I90" s="281">
        <f t="shared" si="19"/>
        <v>1000</v>
      </c>
      <c r="J90" s="281">
        <f t="shared" si="18"/>
        <v>2203</v>
      </c>
      <c r="K90" s="351" t="s">
        <v>1395</v>
      </c>
    </row>
    <row r="91" spans="1:12" ht="16.2" thickBot="1" x14ac:dyDescent="0.35">
      <c r="A91" s="315">
        <v>7</v>
      </c>
      <c r="B91" s="112" t="s">
        <v>317</v>
      </c>
      <c r="C91" s="292">
        <v>2529</v>
      </c>
      <c r="D91" s="281">
        <v>3203</v>
      </c>
      <c r="E91" s="281">
        <v>2000</v>
      </c>
      <c r="F91" s="281">
        <v>1203</v>
      </c>
      <c r="G91" s="281"/>
      <c r="H91" s="281"/>
      <c r="I91" s="281">
        <f t="shared" si="19"/>
        <v>3203</v>
      </c>
      <c r="J91" s="281">
        <f t="shared" si="18"/>
        <v>0</v>
      </c>
      <c r="K91" s="281" t="s">
        <v>1395</v>
      </c>
    </row>
    <row r="92" spans="1:12" ht="16.2" thickBot="1" x14ac:dyDescent="0.35">
      <c r="A92" s="315">
        <v>8</v>
      </c>
      <c r="B92" s="112" t="s">
        <v>310</v>
      </c>
      <c r="C92" s="292">
        <v>2530</v>
      </c>
      <c r="D92" s="281">
        <v>3203</v>
      </c>
      <c r="E92" s="281"/>
      <c r="F92" s="281"/>
      <c r="G92" s="281"/>
      <c r="H92" s="281"/>
      <c r="I92" s="281">
        <f t="shared" si="19"/>
        <v>0</v>
      </c>
      <c r="J92" s="281">
        <f t="shared" si="18"/>
        <v>3203</v>
      </c>
      <c r="K92" s="351"/>
    </row>
    <row r="93" spans="1:12" ht="16.2" thickBot="1" x14ac:dyDescent="0.35">
      <c r="A93" s="315">
        <v>9</v>
      </c>
      <c r="B93" s="112" t="s">
        <v>223</v>
      </c>
      <c r="C93" s="292">
        <v>2549</v>
      </c>
      <c r="D93" s="281">
        <v>3203</v>
      </c>
      <c r="E93" s="281">
        <v>1500</v>
      </c>
      <c r="F93" s="281">
        <v>1700</v>
      </c>
      <c r="G93" s="281"/>
      <c r="H93" s="281"/>
      <c r="I93" s="281">
        <f t="shared" si="19"/>
        <v>3200</v>
      </c>
      <c r="J93" s="281">
        <f t="shared" si="18"/>
        <v>3</v>
      </c>
      <c r="K93" s="351"/>
    </row>
    <row r="94" spans="1:12" ht="16.2" thickBot="1" x14ac:dyDescent="0.35">
      <c r="A94" s="315">
        <v>10</v>
      </c>
      <c r="B94" s="112" t="s">
        <v>963</v>
      </c>
      <c r="C94" s="292">
        <v>2519</v>
      </c>
      <c r="D94" s="281">
        <v>3203</v>
      </c>
      <c r="E94" s="281"/>
      <c r="F94" s="281"/>
      <c r="G94" s="281"/>
      <c r="H94" s="281"/>
      <c r="I94" s="281">
        <f t="shared" si="19"/>
        <v>0</v>
      </c>
      <c r="J94" s="281">
        <f t="shared" si="18"/>
        <v>3203</v>
      </c>
      <c r="K94" s="351"/>
    </row>
    <row r="95" spans="1:12" ht="16.2" thickBot="1" x14ac:dyDescent="0.35">
      <c r="A95" s="283">
        <v>11</v>
      </c>
      <c r="B95" s="135" t="s">
        <v>966</v>
      </c>
      <c r="C95" s="316">
        <v>2523</v>
      </c>
      <c r="D95" s="281">
        <v>3203</v>
      </c>
      <c r="E95" s="284">
        <v>3203</v>
      </c>
      <c r="F95" s="284"/>
      <c r="G95" s="284"/>
      <c r="H95" s="284"/>
      <c r="I95" s="284">
        <f t="shared" si="19"/>
        <v>3203</v>
      </c>
      <c r="J95" s="284">
        <f t="shared" si="18"/>
        <v>0</v>
      </c>
      <c r="K95" s="352"/>
    </row>
    <row r="96" spans="1:12" ht="15.6" x14ac:dyDescent="0.3">
      <c r="A96" s="145"/>
      <c r="B96" s="146"/>
      <c r="C96" s="365"/>
      <c r="D96" s="494">
        <f>SUM(D85:D95)</f>
        <v>35233</v>
      </c>
      <c r="E96" s="494">
        <f t="shared" ref="E96:J96" si="20">SUM(E85:E95)</f>
        <v>15503</v>
      </c>
      <c r="F96" s="494">
        <f t="shared" si="20"/>
        <v>6509</v>
      </c>
      <c r="G96" s="494">
        <f t="shared" si="20"/>
        <v>0</v>
      </c>
      <c r="H96" s="494">
        <f t="shared" si="20"/>
        <v>0</v>
      </c>
      <c r="I96" s="494">
        <f t="shared" si="20"/>
        <v>22012</v>
      </c>
      <c r="J96" s="494">
        <f t="shared" si="20"/>
        <v>13221</v>
      </c>
      <c r="K96" s="148"/>
    </row>
    <row r="97" spans="1:13" ht="15.6" x14ac:dyDescent="0.3">
      <c r="A97" s="143"/>
      <c r="B97" s="143"/>
      <c r="C97" s="143"/>
      <c r="D97" s="142"/>
      <c r="E97" s="142"/>
      <c r="F97" s="142"/>
      <c r="G97" s="142"/>
      <c r="H97" s="142"/>
      <c r="I97" s="142"/>
      <c r="J97" s="142"/>
      <c r="K97" s="143">
        <v>3</v>
      </c>
    </row>
    <row r="98" spans="1:13" ht="15.6" x14ac:dyDescent="0.3">
      <c r="A98" s="280"/>
      <c r="B98" s="280"/>
      <c r="C98" s="280"/>
      <c r="D98" s="279"/>
      <c r="E98" s="279"/>
      <c r="F98" s="279"/>
      <c r="G98" s="279"/>
      <c r="H98" s="279"/>
      <c r="I98" s="279"/>
      <c r="J98" s="279"/>
      <c r="K98" s="280"/>
    </row>
    <row r="99" spans="1:13" ht="16.2" thickBot="1" x14ac:dyDescent="0.35">
      <c r="A99" s="362" t="s">
        <v>1250</v>
      </c>
      <c r="B99" s="309"/>
      <c r="C99" s="363"/>
      <c r="D99" s="363"/>
      <c r="E99" s="363"/>
      <c r="F99" s="363"/>
      <c r="G99" s="363"/>
      <c r="H99" s="363"/>
      <c r="I99" s="363"/>
      <c r="J99" s="363"/>
      <c r="K99" s="420"/>
    </row>
    <row r="100" spans="1:13" ht="27.6" thickBot="1" x14ac:dyDescent="0.35">
      <c r="A100" s="354" t="s">
        <v>0</v>
      </c>
      <c r="B100" s="295" t="s">
        <v>1</v>
      </c>
      <c r="C100" s="354" t="s">
        <v>2</v>
      </c>
      <c r="D100" s="355" t="s">
        <v>854</v>
      </c>
      <c r="E100" s="573" t="s">
        <v>855</v>
      </c>
      <c r="F100" s="574"/>
      <c r="G100" s="574"/>
      <c r="H100" s="575"/>
      <c r="I100" s="416"/>
      <c r="J100" s="357" t="s">
        <v>856</v>
      </c>
      <c r="K100" s="351"/>
      <c r="M100" s="294" t="s">
        <v>1548</v>
      </c>
    </row>
    <row r="101" spans="1:13" ht="16.2" thickBot="1" x14ac:dyDescent="0.35">
      <c r="A101" s="315">
        <v>1</v>
      </c>
      <c r="B101" s="132" t="s">
        <v>83</v>
      </c>
      <c r="C101" s="315">
        <v>1772</v>
      </c>
      <c r="D101" s="281">
        <v>2744</v>
      </c>
      <c r="E101" s="281">
        <v>2000</v>
      </c>
      <c r="F101" s="281">
        <v>780</v>
      </c>
      <c r="G101" s="281"/>
      <c r="H101" s="281"/>
      <c r="I101" s="281">
        <f>SUM(E101:H101)</f>
        <v>2780</v>
      </c>
      <c r="J101" s="281">
        <f t="shared" ref="J101:J103" si="21">D101-E101-F101-G101-H101</f>
        <v>-36</v>
      </c>
      <c r="K101" s="351" t="s">
        <v>1395</v>
      </c>
    </row>
    <row r="102" spans="1:13" ht="16.2" thickBot="1" x14ac:dyDescent="0.35">
      <c r="A102" s="315">
        <v>2</v>
      </c>
      <c r="B102" s="132" t="s">
        <v>536</v>
      </c>
      <c r="C102" s="315">
        <v>1773</v>
      </c>
      <c r="D102" s="281">
        <v>2744</v>
      </c>
      <c r="E102" s="281">
        <v>1600</v>
      </c>
      <c r="F102" s="281"/>
      <c r="G102" s="281"/>
      <c r="H102" s="281"/>
      <c r="I102" s="281">
        <f t="shared" ref="I102:I103" si="22">SUM(E102:H102)</f>
        <v>1600</v>
      </c>
      <c r="J102" s="281">
        <f t="shared" si="21"/>
        <v>1144</v>
      </c>
      <c r="K102" s="351" t="s">
        <v>1395</v>
      </c>
    </row>
    <row r="103" spans="1:13" ht="16.2" thickBot="1" x14ac:dyDescent="0.35">
      <c r="A103" s="283">
        <v>3</v>
      </c>
      <c r="B103" s="287" t="s">
        <v>84</v>
      </c>
      <c r="C103" s="283">
        <v>1774</v>
      </c>
      <c r="D103" s="281">
        <v>2744</v>
      </c>
      <c r="E103" s="284">
        <v>2744</v>
      </c>
      <c r="F103" s="284"/>
      <c r="G103" s="284"/>
      <c r="H103" s="284"/>
      <c r="I103" s="284">
        <f t="shared" si="22"/>
        <v>2744</v>
      </c>
      <c r="J103" s="284">
        <f t="shared" si="21"/>
        <v>0</v>
      </c>
      <c r="K103" s="352"/>
    </row>
    <row r="104" spans="1:13" ht="15.6" x14ac:dyDescent="0.3">
      <c r="A104" s="145"/>
      <c r="B104" s="146"/>
      <c r="C104" s="145"/>
      <c r="D104" s="494">
        <f>SUM(D101:D103)</f>
        <v>8232</v>
      </c>
      <c r="E104" s="494">
        <f t="shared" ref="E104:J104" si="23">SUM(E101:E103)</f>
        <v>6344</v>
      </c>
      <c r="F104" s="494">
        <f t="shared" si="23"/>
        <v>780</v>
      </c>
      <c r="G104" s="494">
        <f t="shared" si="23"/>
        <v>0</v>
      </c>
      <c r="H104" s="494">
        <f t="shared" si="23"/>
        <v>0</v>
      </c>
      <c r="I104" s="494">
        <f t="shared" si="23"/>
        <v>7124</v>
      </c>
      <c r="J104" s="494">
        <f t="shared" si="23"/>
        <v>1108</v>
      </c>
      <c r="K104" s="148"/>
      <c r="L104" s="143"/>
    </row>
    <row r="105" spans="1:13" ht="15.6" x14ac:dyDescent="0.3">
      <c r="A105" s="141"/>
      <c r="B105" s="300"/>
      <c r="C105" s="141"/>
      <c r="D105" s="142"/>
      <c r="E105" s="142"/>
      <c r="F105" s="142"/>
      <c r="G105" s="142"/>
      <c r="H105" s="142"/>
      <c r="I105" s="142"/>
      <c r="J105" s="142"/>
      <c r="K105" s="143"/>
      <c r="L105" s="143"/>
    </row>
    <row r="106" spans="1:13" ht="15.6" x14ac:dyDescent="0.3">
      <c r="A106" s="141"/>
      <c r="B106" s="300"/>
      <c r="C106" s="141"/>
      <c r="D106" s="142"/>
      <c r="E106" s="142"/>
      <c r="F106" s="142"/>
      <c r="G106" s="142"/>
      <c r="H106" s="142"/>
      <c r="I106" s="142"/>
      <c r="J106" s="142"/>
      <c r="K106" s="143"/>
      <c r="L106" s="143"/>
    </row>
    <row r="107" spans="1:13" ht="16.2" thickBot="1" x14ac:dyDescent="0.35">
      <c r="A107" s="362" t="s">
        <v>1251</v>
      </c>
      <c r="B107" s="309"/>
      <c r="C107" s="363"/>
      <c r="D107" s="363"/>
      <c r="E107" s="363"/>
      <c r="F107" s="363"/>
      <c r="G107" s="363"/>
      <c r="H107" s="363"/>
      <c r="I107" s="363"/>
      <c r="J107" s="363"/>
      <c r="K107" s="420"/>
      <c r="L107" s="143"/>
    </row>
    <row r="108" spans="1:13" ht="27.6" thickBot="1" x14ac:dyDescent="0.35">
      <c r="A108" s="354" t="s">
        <v>0</v>
      </c>
      <c r="B108" s="295" t="s">
        <v>1</v>
      </c>
      <c r="C108" s="354" t="s">
        <v>2</v>
      </c>
      <c r="D108" s="355" t="s">
        <v>854</v>
      </c>
      <c r="E108" s="573" t="s">
        <v>855</v>
      </c>
      <c r="F108" s="574"/>
      <c r="G108" s="574"/>
      <c r="H108" s="575"/>
      <c r="I108" s="416"/>
      <c r="J108" s="357" t="s">
        <v>856</v>
      </c>
      <c r="K108" s="351"/>
    </row>
    <row r="109" spans="1:13" ht="16.2" thickBot="1" x14ac:dyDescent="0.35">
      <c r="A109" s="315">
        <v>1</v>
      </c>
      <c r="B109" s="112" t="s">
        <v>1338</v>
      </c>
      <c r="C109" s="267"/>
      <c r="D109" s="281">
        <v>6672</v>
      </c>
      <c r="E109" s="281">
        <v>4476</v>
      </c>
      <c r="F109" s="281">
        <v>600</v>
      </c>
      <c r="G109" s="281"/>
      <c r="H109" s="281"/>
      <c r="I109" s="281">
        <f>SUM(E109:H109)</f>
        <v>5076</v>
      </c>
      <c r="J109" s="281">
        <f t="shared" ref="J109:J113" si="24">D109-E109-F109-G109-H109</f>
        <v>1596</v>
      </c>
      <c r="K109" s="351" t="s">
        <v>1395</v>
      </c>
    </row>
    <row r="110" spans="1:13" ht="16.2" thickBot="1" x14ac:dyDescent="0.35">
      <c r="A110" s="283">
        <v>2</v>
      </c>
      <c r="B110" s="282" t="s">
        <v>1368</v>
      </c>
      <c r="C110" s="283"/>
      <c r="D110" s="284">
        <v>6672</v>
      </c>
      <c r="E110" s="284">
        <v>2040</v>
      </c>
      <c r="F110" s="284">
        <v>2500</v>
      </c>
      <c r="G110" s="284">
        <v>1100</v>
      </c>
      <c r="H110" s="284"/>
      <c r="I110" s="284">
        <f>SUM(E110:H110)</f>
        <v>5640</v>
      </c>
      <c r="J110" s="284">
        <f t="shared" si="24"/>
        <v>1032</v>
      </c>
      <c r="K110" s="352" t="s">
        <v>1395</v>
      </c>
    </row>
    <row r="111" spans="1:13" ht="16.2" thickBot="1" x14ac:dyDescent="0.35">
      <c r="A111" s="315">
        <v>3</v>
      </c>
      <c r="B111" s="288" t="s">
        <v>1375</v>
      </c>
      <c r="C111" s="407"/>
      <c r="D111" s="379">
        <v>6672</v>
      </c>
      <c r="E111" s="379">
        <v>2040</v>
      </c>
      <c r="F111" s="379">
        <v>2000</v>
      </c>
      <c r="G111" s="379"/>
      <c r="H111" s="379"/>
      <c r="I111" s="379">
        <f>SUM(E111:H111)</f>
        <v>4040</v>
      </c>
      <c r="J111" s="379">
        <f t="shared" si="24"/>
        <v>2632</v>
      </c>
      <c r="K111" s="424" t="s">
        <v>1395</v>
      </c>
    </row>
    <row r="112" spans="1:13" ht="16.2" thickBot="1" x14ac:dyDescent="0.35">
      <c r="A112" s="378">
        <v>4</v>
      </c>
      <c r="B112" s="270" t="s">
        <v>1442</v>
      </c>
      <c r="C112" s="269"/>
      <c r="D112" s="271">
        <v>6672</v>
      </c>
      <c r="E112" s="271">
        <v>2040</v>
      </c>
      <c r="F112" s="271"/>
      <c r="G112" s="271"/>
      <c r="H112" s="271"/>
      <c r="I112" s="271">
        <f t="shared" ref="I112:I113" si="25">SUM(E112:H112)</f>
        <v>2040</v>
      </c>
      <c r="J112" s="271">
        <f t="shared" si="24"/>
        <v>4632</v>
      </c>
      <c r="K112" s="377"/>
    </row>
    <row r="113" spans="1:11" ht="16.2" thickBot="1" x14ac:dyDescent="0.35">
      <c r="A113" s="376">
        <v>5</v>
      </c>
      <c r="B113" s="270" t="s">
        <v>1461</v>
      </c>
      <c r="C113" s="269"/>
      <c r="D113" s="271">
        <v>6672</v>
      </c>
      <c r="E113" s="271">
        <v>1000</v>
      </c>
      <c r="F113" s="271">
        <v>1040</v>
      </c>
      <c r="G113" s="271">
        <v>1800</v>
      </c>
      <c r="H113" s="271"/>
      <c r="I113" s="271">
        <f t="shared" si="25"/>
        <v>3840</v>
      </c>
      <c r="J113" s="271">
        <f t="shared" si="24"/>
        <v>2832</v>
      </c>
      <c r="K113" s="377" t="s">
        <v>1395</v>
      </c>
    </row>
    <row r="114" spans="1:11" ht="15.6" x14ac:dyDescent="0.3">
      <c r="A114" s="277"/>
      <c r="B114" s="188"/>
      <c r="C114" s="277"/>
      <c r="D114" s="500">
        <f>SUM(D109:D113)</f>
        <v>33360</v>
      </c>
      <c r="E114" s="500">
        <f t="shared" ref="E114:J114" si="26">SUM(E109:E113)</f>
        <v>11596</v>
      </c>
      <c r="F114" s="500">
        <f t="shared" si="26"/>
        <v>6140</v>
      </c>
      <c r="G114" s="500">
        <f t="shared" si="26"/>
        <v>2900</v>
      </c>
      <c r="H114" s="500">
        <f t="shared" si="26"/>
        <v>0</v>
      </c>
      <c r="I114" s="500">
        <f t="shared" si="26"/>
        <v>20636</v>
      </c>
      <c r="J114" s="500">
        <f t="shared" si="26"/>
        <v>12724</v>
      </c>
      <c r="K114" s="143"/>
    </row>
    <row r="115" spans="1:11" ht="15.6" x14ac:dyDescent="0.3">
      <c r="A115" s="277"/>
      <c r="B115" s="188"/>
      <c r="C115" s="277"/>
      <c r="D115" s="142"/>
      <c r="E115" s="142"/>
      <c r="F115" s="142"/>
      <c r="G115" s="142"/>
      <c r="H115" s="142"/>
      <c r="I115" s="142"/>
      <c r="J115" s="142"/>
      <c r="K115" s="143"/>
    </row>
    <row r="116" spans="1:11" ht="29.4" customHeight="1" x14ac:dyDescent="0.3">
      <c r="A116" s="277"/>
      <c r="B116" s="188"/>
      <c r="C116" s="277"/>
      <c r="D116" s="142"/>
      <c r="E116" s="142"/>
      <c r="F116" s="142"/>
      <c r="G116" s="142"/>
      <c r="H116" s="142"/>
      <c r="I116" s="142"/>
      <c r="J116" s="142"/>
      <c r="K116" s="143"/>
    </row>
    <row r="117" spans="1:11" ht="15.6" x14ac:dyDescent="0.3">
      <c r="A117" s="278"/>
      <c r="B117" s="189"/>
      <c r="C117" s="278"/>
      <c r="D117" s="279"/>
      <c r="E117" s="279"/>
      <c r="F117" s="279"/>
      <c r="G117" s="279"/>
      <c r="H117" s="279"/>
      <c r="I117" s="279"/>
      <c r="J117" s="279"/>
      <c r="K117" s="280"/>
    </row>
    <row r="118" spans="1:11" ht="16.2" thickBot="1" x14ac:dyDescent="0.35">
      <c r="A118" s="362" t="s">
        <v>1252</v>
      </c>
      <c r="B118" s="309"/>
      <c r="C118" s="363"/>
      <c r="D118" s="363"/>
      <c r="E118" s="363"/>
      <c r="F118" s="363"/>
      <c r="G118" s="363"/>
      <c r="H118" s="363"/>
      <c r="I118" s="363"/>
      <c r="J118" s="363"/>
      <c r="K118" s="420"/>
    </row>
    <row r="119" spans="1:11" ht="27.6" thickBot="1" x14ac:dyDescent="0.35">
      <c r="A119" s="354" t="s">
        <v>0</v>
      </c>
      <c r="B119" s="295" t="s">
        <v>1</v>
      </c>
      <c r="C119" s="354" t="s">
        <v>2</v>
      </c>
      <c r="D119" s="355" t="s">
        <v>854</v>
      </c>
      <c r="E119" s="573" t="s">
        <v>855</v>
      </c>
      <c r="F119" s="574"/>
      <c r="G119" s="574"/>
      <c r="H119" s="575"/>
      <c r="I119" s="416"/>
      <c r="J119" s="357" t="s">
        <v>856</v>
      </c>
      <c r="K119" s="351"/>
    </row>
    <row r="120" spans="1:11" ht="16.2" thickBot="1" x14ac:dyDescent="0.35">
      <c r="A120" s="315">
        <v>1</v>
      </c>
      <c r="B120" s="112" t="s">
        <v>712</v>
      </c>
      <c r="C120" s="267">
        <v>3077</v>
      </c>
      <c r="D120" s="281">
        <v>3538</v>
      </c>
      <c r="E120" s="281"/>
      <c r="F120" s="281"/>
      <c r="G120" s="281"/>
      <c r="H120" s="281"/>
      <c r="I120" s="281">
        <f>SUM(E120:H120)</f>
        <v>0</v>
      </c>
      <c r="J120" s="281">
        <f t="shared" ref="J120:J139" si="27">D120-E120-F120-G120-H120</f>
        <v>3538</v>
      </c>
      <c r="K120" s="351"/>
    </row>
    <row r="121" spans="1:11" ht="16.2" thickBot="1" x14ac:dyDescent="0.35">
      <c r="A121" s="315">
        <v>2</v>
      </c>
      <c r="B121" s="131" t="s">
        <v>544</v>
      </c>
      <c r="C121" s="315">
        <v>3012</v>
      </c>
      <c r="D121" s="281">
        <v>3538</v>
      </c>
      <c r="E121" s="281">
        <v>3538</v>
      </c>
      <c r="F121" s="281"/>
      <c r="G121" s="281"/>
      <c r="H121" s="281"/>
      <c r="I121" s="281">
        <f>SUM(E121:H121)</f>
        <v>3538</v>
      </c>
      <c r="J121" s="281">
        <f t="shared" si="27"/>
        <v>0</v>
      </c>
      <c r="K121" s="351" t="s">
        <v>1395</v>
      </c>
    </row>
    <row r="122" spans="1:11" ht="16.2" thickBot="1" x14ac:dyDescent="0.35">
      <c r="A122" s="315">
        <v>3</v>
      </c>
      <c r="B122" s="131" t="s">
        <v>543</v>
      </c>
      <c r="C122" s="315">
        <v>3103</v>
      </c>
      <c r="D122" s="281">
        <v>3538</v>
      </c>
      <c r="E122" s="281">
        <v>2000</v>
      </c>
      <c r="F122" s="281"/>
      <c r="G122" s="281"/>
      <c r="H122" s="281"/>
      <c r="I122" s="281">
        <f t="shared" ref="I122:I139" si="28">SUM(E122:H122)</f>
        <v>2000</v>
      </c>
      <c r="J122" s="281">
        <f t="shared" si="27"/>
        <v>1538</v>
      </c>
      <c r="K122" s="351" t="s">
        <v>1395</v>
      </c>
    </row>
    <row r="123" spans="1:11" ht="16.2" thickBot="1" x14ac:dyDescent="0.35">
      <c r="A123" s="315">
        <v>4</v>
      </c>
      <c r="B123" s="133" t="s">
        <v>539</v>
      </c>
      <c r="C123" s="292">
        <v>3104</v>
      </c>
      <c r="D123" s="281">
        <v>3538</v>
      </c>
      <c r="E123" s="281">
        <v>1000</v>
      </c>
      <c r="F123" s="281"/>
      <c r="G123" s="281"/>
      <c r="H123" s="281"/>
      <c r="I123" s="281">
        <f t="shared" si="28"/>
        <v>1000</v>
      </c>
      <c r="J123" s="281">
        <f t="shared" si="27"/>
        <v>2538</v>
      </c>
      <c r="K123" s="351" t="s">
        <v>1395</v>
      </c>
    </row>
    <row r="124" spans="1:11" ht="16.2" thickBot="1" x14ac:dyDescent="0.35">
      <c r="A124" s="315">
        <v>5</v>
      </c>
      <c r="B124" s="132" t="s">
        <v>545</v>
      </c>
      <c r="C124" s="315">
        <v>3105</v>
      </c>
      <c r="D124" s="281">
        <v>3538</v>
      </c>
      <c r="E124" s="281">
        <v>3538</v>
      </c>
      <c r="F124" s="281"/>
      <c r="G124" s="281"/>
      <c r="H124" s="281"/>
      <c r="I124" s="281">
        <f t="shared" si="28"/>
        <v>3538</v>
      </c>
      <c r="J124" s="281">
        <f t="shared" si="27"/>
        <v>0</v>
      </c>
      <c r="K124" s="351" t="s">
        <v>1395</v>
      </c>
    </row>
    <row r="125" spans="1:11" ht="16.2" thickBot="1" x14ac:dyDescent="0.35">
      <c r="A125" s="315">
        <v>6</v>
      </c>
      <c r="B125" s="112" t="s">
        <v>549</v>
      </c>
      <c r="C125" s="292">
        <v>3108</v>
      </c>
      <c r="D125" s="281">
        <v>3538</v>
      </c>
      <c r="E125" s="281">
        <v>1500</v>
      </c>
      <c r="F125" s="281">
        <v>2038</v>
      </c>
      <c r="G125" s="281"/>
      <c r="H125" s="281"/>
      <c r="I125" s="281">
        <f t="shared" si="28"/>
        <v>3538</v>
      </c>
      <c r="J125" s="281">
        <f t="shared" si="27"/>
        <v>0</v>
      </c>
      <c r="K125" s="281" t="s">
        <v>1395</v>
      </c>
    </row>
    <row r="126" spans="1:11" ht="16.2" thickBot="1" x14ac:dyDescent="0.35">
      <c r="A126" s="315">
        <v>7</v>
      </c>
      <c r="B126" s="131" t="s">
        <v>538</v>
      </c>
      <c r="C126" s="315">
        <v>3109</v>
      </c>
      <c r="D126" s="281">
        <v>3538</v>
      </c>
      <c r="E126" s="281">
        <v>3538</v>
      </c>
      <c r="F126" s="281"/>
      <c r="G126" s="281"/>
      <c r="H126" s="281"/>
      <c r="I126" s="281">
        <f t="shared" si="28"/>
        <v>3538</v>
      </c>
      <c r="J126" s="281">
        <f t="shared" si="27"/>
        <v>0</v>
      </c>
      <c r="K126" s="351" t="s">
        <v>1723</v>
      </c>
    </row>
    <row r="127" spans="1:11" ht="16.2" thickBot="1" x14ac:dyDescent="0.35">
      <c r="A127" s="315">
        <v>8</v>
      </c>
      <c r="B127" s="112" t="s">
        <v>546</v>
      </c>
      <c r="C127" s="292">
        <v>3110</v>
      </c>
      <c r="D127" s="281">
        <v>3538</v>
      </c>
      <c r="E127" s="281">
        <v>1900</v>
      </c>
      <c r="F127" s="281"/>
      <c r="G127" s="281"/>
      <c r="H127" s="281"/>
      <c r="I127" s="281">
        <f t="shared" si="28"/>
        <v>1900</v>
      </c>
      <c r="J127" s="281">
        <f t="shared" si="27"/>
        <v>1638</v>
      </c>
      <c r="K127" s="351" t="s">
        <v>1395</v>
      </c>
    </row>
    <row r="128" spans="1:11" ht="16.2" thickBot="1" x14ac:dyDescent="0.35">
      <c r="A128" s="315">
        <v>9</v>
      </c>
      <c r="B128" s="112" t="s">
        <v>541</v>
      </c>
      <c r="C128" s="292">
        <v>3112</v>
      </c>
      <c r="D128" s="281">
        <v>3538</v>
      </c>
      <c r="E128" s="281">
        <v>2000</v>
      </c>
      <c r="F128" s="281">
        <v>1538</v>
      </c>
      <c r="G128" s="281"/>
      <c r="H128" s="281"/>
      <c r="I128" s="281">
        <f t="shared" si="28"/>
        <v>3538</v>
      </c>
      <c r="J128" s="281">
        <f t="shared" si="27"/>
        <v>0</v>
      </c>
      <c r="K128" s="351" t="s">
        <v>1723</v>
      </c>
    </row>
    <row r="129" spans="1:11" ht="16.2" thickBot="1" x14ac:dyDescent="0.35">
      <c r="A129" s="315">
        <v>10</v>
      </c>
      <c r="B129" s="134" t="s">
        <v>547</v>
      </c>
      <c r="C129" s="315">
        <v>3114</v>
      </c>
      <c r="D129" s="281">
        <v>3538</v>
      </c>
      <c r="E129" s="281">
        <v>3538</v>
      </c>
      <c r="F129" s="281"/>
      <c r="G129" s="281"/>
      <c r="H129" s="281"/>
      <c r="I129" s="281">
        <f t="shared" si="28"/>
        <v>3538</v>
      </c>
      <c r="J129" s="281">
        <f t="shared" si="27"/>
        <v>0</v>
      </c>
      <c r="K129" s="351" t="s">
        <v>1395</v>
      </c>
    </row>
    <row r="130" spans="1:11" ht="16.2" thickBot="1" x14ac:dyDescent="0.35">
      <c r="A130" s="315">
        <v>11</v>
      </c>
      <c r="B130" s="112" t="s">
        <v>548</v>
      </c>
      <c r="C130" s="292">
        <v>3115</v>
      </c>
      <c r="D130" s="281">
        <v>3538</v>
      </c>
      <c r="E130" s="281">
        <v>2000</v>
      </c>
      <c r="F130" s="281">
        <v>1540</v>
      </c>
      <c r="G130" s="281"/>
      <c r="H130" s="281"/>
      <c r="I130" s="281">
        <f t="shared" si="28"/>
        <v>3540</v>
      </c>
      <c r="J130" s="281">
        <f t="shared" si="27"/>
        <v>-2</v>
      </c>
      <c r="K130" s="351" t="s">
        <v>1723</v>
      </c>
    </row>
    <row r="131" spans="1:11" ht="16.2" thickBot="1" x14ac:dyDescent="0.35">
      <c r="A131" s="315">
        <v>12</v>
      </c>
      <c r="B131" s="112" t="s">
        <v>551</v>
      </c>
      <c r="C131" s="292">
        <v>3116</v>
      </c>
      <c r="D131" s="281">
        <v>3538</v>
      </c>
      <c r="E131" s="281">
        <v>1000</v>
      </c>
      <c r="F131" s="281"/>
      <c r="G131" s="281"/>
      <c r="H131" s="281"/>
      <c r="I131" s="281">
        <f t="shared" si="28"/>
        <v>1000</v>
      </c>
      <c r="J131" s="281">
        <f t="shared" si="27"/>
        <v>2538</v>
      </c>
      <c r="K131" s="351" t="s">
        <v>1395</v>
      </c>
    </row>
    <row r="132" spans="1:11" ht="16.2" thickBot="1" x14ac:dyDescent="0.35">
      <c r="A132" s="315">
        <v>13</v>
      </c>
      <c r="B132" s="112" t="s">
        <v>552</v>
      </c>
      <c r="C132" s="292">
        <v>3117</v>
      </c>
      <c r="D132" s="281">
        <v>3538</v>
      </c>
      <c r="E132" s="281">
        <v>2000</v>
      </c>
      <c r="F132" s="281"/>
      <c r="G132" s="281"/>
      <c r="H132" s="281"/>
      <c r="I132" s="281">
        <f t="shared" si="28"/>
        <v>2000</v>
      </c>
      <c r="J132" s="281">
        <f t="shared" si="27"/>
        <v>1538</v>
      </c>
      <c r="K132" s="351" t="s">
        <v>1395</v>
      </c>
    </row>
    <row r="133" spans="1:11" ht="16.2" thickBot="1" x14ac:dyDescent="0.35">
      <c r="A133" s="315">
        <v>14</v>
      </c>
      <c r="B133" s="112" t="s">
        <v>540</v>
      </c>
      <c r="C133" s="292">
        <v>3118</v>
      </c>
      <c r="D133" s="281">
        <v>3538</v>
      </c>
      <c r="E133" s="281">
        <v>1500</v>
      </c>
      <c r="F133" s="281"/>
      <c r="G133" s="281"/>
      <c r="H133" s="281"/>
      <c r="I133" s="281">
        <f t="shared" si="28"/>
        <v>1500</v>
      </c>
      <c r="J133" s="281">
        <f t="shared" si="27"/>
        <v>2038</v>
      </c>
      <c r="K133" s="351" t="s">
        <v>1395</v>
      </c>
    </row>
    <row r="134" spans="1:11" ht="16.2" thickBot="1" x14ac:dyDescent="0.35">
      <c r="A134" s="315">
        <v>15</v>
      </c>
      <c r="B134" s="112" t="s">
        <v>554</v>
      </c>
      <c r="C134" s="267">
        <v>3119</v>
      </c>
      <c r="D134" s="281">
        <v>3538</v>
      </c>
      <c r="E134" s="281">
        <v>740</v>
      </c>
      <c r="F134" s="281"/>
      <c r="G134" s="281"/>
      <c r="H134" s="281"/>
      <c r="I134" s="281">
        <f t="shared" si="28"/>
        <v>740</v>
      </c>
      <c r="J134" s="281">
        <f t="shared" si="27"/>
        <v>2798</v>
      </c>
      <c r="K134" s="351"/>
    </row>
    <row r="135" spans="1:11" ht="16.2" thickBot="1" x14ac:dyDescent="0.35">
      <c r="A135" s="315">
        <v>16</v>
      </c>
      <c r="B135" s="112" t="s">
        <v>851</v>
      </c>
      <c r="C135" s="134"/>
      <c r="D135" s="281">
        <v>3538</v>
      </c>
      <c r="E135" s="281"/>
      <c r="F135" s="281"/>
      <c r="G135" s="281"/>
      <c r="H135" s="281"/>
      <c r="I135" s="281">
        <f t="shared" si="28"/>
        <v>0</v>
      </c>
      <c r="J135" s="281">
        <f t="shared" si="27"/>
        <v>3538</v>
      </c>
      <c r="K135" s="351"/>
    </row>
    <row r="136" spans="1:11" ht="16.2" thickBot="1" x14ac:dyDescent="0.35">
      <c r="A136" s="315">
        <v>17</v>
      </c>
      <c r="B136" s="112" t="s">
        <v>553</v>
      </c>
      <c r="C136" s="267">
        <v>3120</v>
      </c>
      <c r="D136" s="281">
        <v>3538</v>
      </c>
      <c r="E136" s="281"/>
      <c r="F136" s="281"/>
      <c r="G136" s="281"/>
      <c r="H136" s="281"/>
      <c r="I136" s="281">
        <f t="shared" si="28"/>
        <v>0</v>
      </c>
      <c r="J136" s="281">
        <f t="shared" si="27"/>
        <v>3538</v>
      </c>
      <c r="K136" s="351"/>
    </row>
    <row r="137" spans="1:11" ht="16.2" thickBot="1" x14ac:dyDescent="0.35">
      <c r="A137" s="315">
        <v>18</v>
      </c>
      <c r="B137" s="112" t="s">
        <v>542</v>
      </c>
      <c r="C137" s="292">
        <v>3122</v>
      </c>
      <c r="D137" s="281">
        <v>3538</v>
      </c>
      <c r="E137" s="281"/>
      <c r="F137" s="281"/>
      <c r="G137" s="281"/>
      <c r="H137" s="281"/>
      <c r="I137" s="281">
        <f t="shared" si="28"/>
        <v>0</v>
      </c>
      <c r="J137" s="281">
        <f t="shared" si="27"/>
        <v>3538</v>
      </c>
      <c r="K137" s="351"/>
    </row>
    <row r="138" spans="1:11" ht="16.2" thickBot="1" x14ac:dyDescent="0.35">
      <c r="A138" s="315">
        <v>19</v>
      </c>
      <c r="B138" s="112" t="s">
        <v>898</v>
      </c>
      <c r="C138" s="134"/>
      <c r="D138" s="281">
        <v>3538</v>
      </c>
      <c r="E138" s="281"/>
      <c r="F138" s="281"/>
      <c r="G138" s="281"/>
      <c r="H138" s="281"/>
      <c r="I138" s="281">
        <f t="shared" si="28"/>
        <v>0</v>
      </c>
      <c r="J138" s="281">
        <f t="shared" si="27"/>
        <v>3538</v>
      </c>
      <c r="K138" s="351"/>
    </row>
    <row r="139" spans="1:11" ht="16.2" thickBot="1" x14ac:dyDescent="0.35">
      <c r="A139" s="315">
        <v>20</v>
      </c>
      <c r="B139" s="135" t="s">
        <v>910</v>
      </c>
      <c r="C139" s="352">
        <v>3086</v>
      </c>
      <c r="D139" s="281">
        <v>3538</v>
      </c>
      <c r="E139" s="284"/>
      <c r="F139" s="284"/>
      <c r="G139" s="284"/>
      <c r="H139" s="284"/>
      <c r="I139" s="284">
        <f t="shared" si="28"/>
        <v>0</v>
      </c>
      <c r="J139" s="284">
        <f t="shared" si="27"/>
        <v>3538</v>
      </c>
      <c r="K139" s="352"/>
    </row>
    <row r="140" spans="1:11" ht="15.6" x14ac:dyDescent="0.3">
      <c r="A140" s="425"/>
      <c r="B140" s="425"/>
      <c r="C140" s="426"/>
      <c r="D140" s="501">
        <f t="shared" ref="D140:J140" si="29">SUM(D120:D139)</f>
        <v>70760</v>
      </c>
      <c r="E140" s="501">
        <f t="shared" si="29"/>
        <v>29792</v>
      </c>
      <c r="F140" s="501">
        <f t="shared" si="29"/>
        <v>5116</v>
      </c>
      <c r="G140" s="501">
        <f t="shared" si="29"/>
        <v>0</v>
      </c>
      <c r="H140" s="501">
        <f t="shared" si="29"/>
        <v>0</v>
      </c>
      <c r="I140" s="501">
        <f t="shared" si="29"/>
        <v>34908</v>
      </c>
      <c r="J140" s="501">
        <f t="shared" si="29"/>
        <v>35852</v>
      </c>
      <c r="K140" s="148"/>
    </row>
    <row r="141" spans="1:11" ht="15.6" x14ac:dyDescent="0.3">
      <c r="A141" s="427"/>
      <c r="B141" s="427"/>
      <c r="C141" s="428"/>
      <c r="D141" s="428"/>
      <c r="E141" s="428"/>
      <c r="F141" s="428"/>
      <c r="G141" s="428"/>
      <c r="H141" s="428"/>
      <c r="I141" s="428"/>
      <c r="J141" s="428"/>
      <c r="K141" s="143"/>
    </row>
    <row r="142" spans="1:11" ht="15.6" x14ac:dyDescent="0.3">
      <c r="A142" s="429"/>
      <c r="B142" s="429"/>
      <c r="C142" s="430"/>
      <c r="D142" s="430"/>
      <c r="E142" s="430"/>
      <c r="F142" s="430"/>
      <c r="G142" s="430"/>
      <c r="H142" s="430"/>
      <c r="I142" s="430"/>
      <c r="J142" s="430"/>
      <c r="K142" s="280"/>
    </row>
    <row r="143" spans="1:11" ht="16.2" thickBot="1" x14ac:dyDescent="0.35">
      <c r="A143" s="362" t="s">
        <v>1253</v>
      </c>
      <c r="B143" s="309"/>
      <c r="C143" s="363"/>
      <c r="D143" s="363"/>
      <c r="E143" s="363"/>
      <c r="F143" s="363"/>
      <c r="G143" s="363"/>
      <c r="H143" s="363"/>
      <c r="I143" s="363"/>
      <c r="J143" s="363"/>
      <c r="K143" s="420"/>
    </row>
    <row r="144" spans="1:11" ht="27.6" thickBot="1" x14ac:dyDescent="0.35">
      <c r="A144" s="354" t="s">
        <v>0</v>
      </c>
      <c r="B144" s="295" t="s">
        <v>1</v>
      </c>
      <c r="C144" s="354" t="s">
        <v>2</v>
      </c>
      <c r="D144" s="355" t="s">
        <v>854</v>
      </c>
      <c r="E144" s="573" t="s">
        <v>855</v>
      </c>
      <c r="F144" s="574"/>
      <c r="G144" s="574"/>
      <c r="H144" s="575"/>
      <c r="I144" s="416"/>
      <c r="J144" s="357" t="s">
        <v>856</v>
      </c>
      <c r="K144" s="351"/>
    </row>
    <row r="145" spans="1:11" ht="16.2" thickBot="1" x14ac:dyDescent="0.35">
      <c r="A145" s="315">
        <v>1</v>
      </c>
      <c r="B145" s="134" t="s">
        <v>228</v>
      </c>
      <c r="C145" s="267">
        <v>2559</v>
      </c>
      <c r="D145" s="281">
        <v>3203</v>
      </c>
      <c r="E145" s="281">
        <v>2050</v>
      </c>
      <c r="F145" s="281"/>
      <c r="G145" s="281"/>
      <c r="H145" s="281"/>
      <c r="I145" s="281">
        <f>SUM(E145:H145)</f>
        <v>2050</v>
      </c>
      <c r="J145" s="281">
        <f t="shared" ref="J145:J160" si="30">D145-E145-F145-G145-H145</f>
        <v>1153</v>
      </c>
      <c r="K145" s="351" t="s">
        <v>1395</v>
      </c>
    </row>
    <row r="146" spans="1:11" ht="16.2" thickBot="1" x14ac:dyDescent="0.35">
      <c r="A146" s="315">
        <v>2</v>
      </c>
      <c r="B146" s="112" t="s">
        <v>714</v>
      </c>
      <c r="C146" s="292">
        <v>3101</v>
      </c>
      <c r="D146" s="281">
        <v>3203</v>
      </c>
      <c r="E146" s="281"/>
      <c r="F146" s="281"/>
      <c r="G146" s="281"/>
      <c r="H146" s="281"/>
      <c r="I146" s="281">
        <f t="shared" ref="I146:I160" si="31">SUM(E146:H146)</f>
        <v>0</v>
      </c>
      <c r="J146" s="281">
        <f t="shared" si="30"/>
        <v>3203</v>
      </c>
      <c r="K146" s="351"/>
    </row>
    <row r="147" spans="1:11" ht="16.2" thickBot="1" x14ac:dyDescent="0.35">
      <c r="A147" s="315">
        <v>3</v>
      </c>
      <c r="B147" s="133" t="s">
        <v>232</v>
      </c>
      <c r="C147" s="292">
        <v>1936</v>
      </c>
      <c r="D147" s="281">
        <v>3203</v>
      </c>
      <c r="E147" s="281">
        <v>1252</v>
      </c>
      <c r="F147" s="281">
        <v>1233</v>
      </c>
      <c r="G147" s="281"/>
      <c r="H147" s="281"/>
      <c r="I147" s="281">
        <f t="shared" si="31"/>
        <v>2485</v>
      </c>
      <c r="J147" s="281">
        <f t="shared" si="30"/>
        <v>718</v>
      </c>
      <c r="K147" s="351"/>
    </row>
    <row r="148" spans="1:11" ht="16.2" thickBot="1" x14ac:dyDescent="0.35">
      <c r="A148" s="315">
        <v>4</v>
      </c>
      <c r="B148" s="112" t="s">
        <v>230</v>
      </c>
      <c r="C148" s="292">
        <v>2560</v>
      </c>
      <c r="D148" s="281">
        <v>3203</v>
      </c>
      <c r="E148" s="281"/>
      <c r="F148" s="281"/>
      <c r="G148" s="281"/>
      <c r="H148" s="281"/>
      <c r="I148" s="281">
        <f t="shared" si="31"/>
        <v>0</v>
      </c>
      <c r="J148" s="281">
        <f t="shared" si="30"/>
        <v>3203</v>
      </c>
      <c r="K148" s="351"/>
    </row>
    <row r="149" spans="1:11" ht="16.2" thickBot="1" x14ac:dyDescent="0.35">
      <c r="A149" s="315">
        <v>5</v>
      </c>
      <c r="B149" s="112" t="s">
        <v>229</v>
      </c>
      <c r="C149" s="292">
        <v>2561</v>
      </c>
      <c r="D149" s="281">
        <v>3203</v>
      </c>
      <c r="E149" s="281">
        <v>1000</v>
      </c>
      <c r="F149" s="281"/>
      <c r="G149" s="281"/>
      <c r="H149" s="281"/>
      <c r="I149" s="281">
        <f t="shared" si="31"/>
        <v>1000</v>
      </c>
      <c r="J149" s="281">
        <f t="shared" si="30"/>
        <v>2203</v>
      </c>
      <c r="K149" s="351"/>
    </row>
    <row r="150" spans="1:11" ht="16.2" thickBot="1" x14ac:dyDescent="0.35">
      <c r="A150" s="315">
        <v>6</v>
      </c>
      <c r="B150" s="134" t="s">
        <v>318</v>
      </c>
      <c r="C150" s="267">
        <v>2562</v>
      </c>
      <c r="D150" s="281">
        <v>3203</v>
      </c>
      <c r="E150" s="281">
        <v>2200</v>
      </c>
      <c r="F150" s="281"/>
      <c r="G150" s="281"/>
      <c r="H150" s="281"/>
      <c r="I150" s="281">
        <f t="shared" si="31"/>
        <v>2200</v>
      </c>
      <c r="J150" s="281">
        <f t="shared" si="30"/>
        <v>1003</v>
      </c>
      <c r="K150" s="281" t="s">
        <v>1395</v>
      </c>
    </row>
    <row r="151" spans="1:11" ht="16.2" thickBot="1" x14ac:dyDescent="0.35">
      <c r="A151" s="315">
        <v>7</v>
      </c>
      <c r="B151" s="134" t="s">
        <v>227</v>
      </c>
      <c r="C151" s="267">
        <v>2563</v>
      </c>
      <c r="D151" s="281">
        <v>3203</v>
      </c>
      <c r="E151" s="281">
        <v>1800</v>
      </c>
      <c r="F151" s="281"/>
      <c r="G151" s="281"/>
      <c r="H151" s="281"/>
      <c r="I151" s="281">
        <f t="shared" si="31"/>
        <v>1800</v>
      </c>
      <c r="J151" s="281">
        <f t="shared" si="30"/>
        <v>1403</v>
      </c>
      <c r="K151" s="351" t="s">
        <v>1395</v>
      </c>
    </row>
    <row r="152" spans="1:11" ht="16.2" thickBot="1" x14ac:dyDescent="0.35">
      <c r="A152" s="315">
        <v>8</v>
      </c>
      <c r="B152" s="423" t="s">
        <v>36</v>
      </c>
      <c r="C152" s="267">
        <v>2564</v>
      </c>
      <c r="D152" s="281">
        <v>3203</v>
      </c>
      <c r="E152" s="281">
        <v>3203</v>
      </c>
      <c r="F152" s="281"/>
      <c r="G152" s="281"/>
      <c r="H152" s="281"/>
      <c r="I152" s="281">
        <f t="shared" si="31"/>
        <v>3203</v>
      </c>
      <c r="J152" s="281">
        <f t="shared" si="30"/>
        <v>0</v>
      </c>
      <c r="K152" s="351" t="s">
        <v>1395</v>
      </c>
    </row>
    <row r="153" spans="1:11" ht="16.2" thickBot="1" x14ac:dyDescent="0.35">
      <c r="A153" s="315">
        <v>9</v>
      </c>
      <c r="B153" s="112" t="s">
        <v>287</v>
      </c>
      <c r="C153" s="292">
        <v>2567</v>
      </c>
      <c r="D153" s="281">
        <v>3203</v>
      </c>
      <c r="E153" s="281">
        <v>2000</v>
      </c>
      <c r="F153" s="281"/>
      <c r="G153" s="281"/>
      <c r="H153" s="281"/>
      <c r="I153" s="281">
        <f t="shared" si="31"/>
        <v>2000</v>
      </c>
      <c r="J153" s="281">
        <f t="shared" si="30"/>
        <v>1203</v>
      </c>
      <c r="K153" s="351"/>
    </row>
    <row r="154" spans="1:11" ht="16.2" thickBot="1" x14ac:dyDescent="0.35">
      <c r="A154" s="315">
        <v>10</v>
      </c>
      <c r="B154" s="134" t="s">
        <v>37</v>
      </c>
      <c r="C154" s="267">
        <v>2568</v>
      </c>
      <c r="D154" s="281">
        <v>3203</v>
      </c>
      <c r="E154" s="281">
        <v>1950</v>
      </c>
      <c r="F154" s="281"/>
      <c r="G154" s="281"/>
      <c r="H154" s="281"/>
      <c r="I154" s="281">
        <f t="shared" si="31"/>
        <v>1950</v>
      </c>
      <c r="J154" s="281">
        <f t="shared" si="30"/>
        <v>1253</v>
      </c>
      <c r="K154" s="351" t="s">
        <v>1395</v>
      </c>
    </row>
    <row r="155" spans="1:11" ht="16.2" thickBot="1" x14ac:dyDescent="0.35">
      <c r="A155" s="315">
        <v>11</v>
      </c>
      <c r="B155" s="112" t="s">
        <v>300</v>
      </c>
      <c r="C155" s="292">
        <v>2641</v>
      </c>
      <c r="D155" s="281">
        <v>3203</v>
      </c>
      <c r="E155" s="281"/>
      <c r="F155"/>
      <c r="G155" s="281"/>
      <c r="H155" s="281"/>
      <c r="I155" s="281">
        <f t="shared" si="31"/>
        <v>0</v>
      </c>
      <c r="J155" s="281">
        <f t="shared" si="30"/>
        <v>3203</v>
      </c>
      <c r="K155" s="351"/>
    </row>
    <row r="156" spans="1:11" ht="16.2" thickBot="1" x14ac:dyDescent="0.35">
      <c r="A156" s="315">
        <v>12</v>
      </c>
      <c r="B156" s="112" t="s">
        <v>231</v>
      </c>
      <c r="C156" s="292">
        <v>1904</v>
      </c>
      <c r="D156" s="281">
        <v>3203</v>
      </c>
      <c r="E156" s="281">
        <v>2000</v>
      </c>
      <c r="F156" s="281"/>
      <c r="G156" s="281"/>
      <c r="H156" s="281"/>
      <c r="I156" s="281">
        <f t="shared" si="31"/>
        <v>2000</v>
      </c>
      <c r="J156" s="281">
        <f t="shared" si="30"/>
        <v>1203</v>
      </c>
      <c r="K156" s="351" t="s">
        <v>1395</v>
      </c>
    </row>
    <row r="157" spans="1:11" ht="16.2" thickBot="1" x14ac:dyDescent="0.35">
      <c r="A157" s="315">
        <v>13</v>
      </c>
      <c r="B157" s="112" t="s">
        <v>332</v>
      </c>
      <c r="C157" s="267">
        <v>2569</v>
      </c>
      <c r="D157" s="281">
        <v>3203</v>
      </c>
      <c r="E157" s="281">
        <v>2669</v>
      </c>
      <c r="F157" s="281"/>
      <c r="G157" s="281"/>
      <c r="H157" s="281"/>
      <c r="I157" s="281">
        <f t="shared" si="31"/>
        <v>2669</v>
      </c>
      <c r="J157" s="281">
        <f t="shared" si="30"/>
        <v>534</v>
      </c>
      <c r="K157" s="351"/>
    </row>
    <row r="158" spans="1:11" ht="16.2" thickBot="1" x14ac:dyDescent="0.35">
      <c r="A158" s="315">
        <v>14</v>
      </c>
      <c r="B158" s="112" t="s">
        <v>537</v>
      </c>
      <c r="C158" s="292"/>
      <c r="D158" s="281">
        <v>3203</v>
      </c>
      <c r="E158" s="281">
        <v>1203</v>
      </c>
      <c r="F158" s="281"/>
      <c r="G158" s="281"/>
      <c r="H158" s="281"/>
      <c r="I158" s="281">
        <f t="shared" si="31"/>
        <v>1203</v>
      </c>
      <c r="J158" s="281">
        <f t="shared" si="30"/>
        <v>2000</v>
      </c>
      <c r="K158" s="13" t="s">
        <v>1395</v>
      </c>
    </row>
    <row r="159" spans="1:11" ht="16.2" thickBot="1" x14ac:dyDescent="0.35">
      <c r="A159" s="315">
        <v>15</v>
      </c>
      <c r="B159" s="112" t="s">
        <v>1185</v>
      </c>
      <c r="C159" s="292">
        <v>2640</v>
      </c>
      <c r="D159" s="281">
        <v>3203</v>
      </c>
      <c r="E159" s="281"/>
      <c r="F159" s="281"/>
      <c r="G159" s="281"/>
      <c r="H159" s="281"/>
      <c r="I159" s="281">
        <f t="shared" si="31"/>
        <v>0</v>
      </c>
      <c r="J159" s="281">
        <f t="shared" si="30"/>
        <v>3203</v>
      </c>
      <c r="K159" s="351"/>
    </row>
    <row r="160" spans="1:11" ht="16.2" thickBot="1" x14ac:dyDescent="0.35">
      <c r="A160" s="283">
        <v>16</v>
      </c>
      <c r="B160" s="135" t="s">
        <v>1186</v>
      </c>
      <c r="C160" s="316"/>
      <c r="D160" s="281">
        <v>3203</v>
      </c>
      <c r="E160" s="284"/>
      <c r="F160" s="284"/>
      <c r="G160" s="284"/>
      <c r="H160" s="284"/>
      <c r="I160" s="281">
        <f t="shared" si="31"/>
        <v>0</v>
      </c>
      <c r="J160" s="281">
        <f t="shared" si="30"/>
        <v>3203</v>
      </c>
      <c r="K160" s="352"/>
    </row>
    <row r="161" spans="1:11" ht="15.6" x14ac:dyDescent="0.3">
      <c r="A161" s="425"/>
      <c r="B161" s="425"/>
      <c r="C161" s="426"/>
      <c r="D161" s="494">
        <f>SUM(D145:D160)</f>
        <v>51248</v>
      </c>
      <c r="E161" s="494">
        <f t="shared" ref="E161:J161" si="32">SUM(E145:E160)</f>
        <v>21327</v>
      </c>
      <c r="F161" s="494">
        <f t="shared" si="32"/>
        <v>1233</v>
      </c>
      <c r="G161" s="494">
        <f t="shared" si="32"/>
        <v>0</v>
      </c>
      <c r="H161" s="494">
        <f t="shared" si="32"/>
        <v>0</v>
      </c>
      <c r="I161" s="494">
        <f t="shared" si="32"/>
        <v>22560</v>
      </c>
      <c r="J161" s="494">
        <f t="shared" si="32"/>
        <v>28688</v>
      </c>
      <c r="K161" s="148"/>
    </row>
    <row r="162" spans="1:11" ht="15.6" x14ac:dyDescent="0.3">
      <c r="A162" s="427"/>
      <c r="B162" s="427"/>
      <c r="C162" s="428"/>
      <c r="D162" s="142"/>
      <c r="E162" s="142"/>
      <c r="F162" s="428"/>
      <c r="G162" s="428"/>
      <c r="H162" s="428"/>
      <c r="I162" s="428"/>
      <c r="J162" s="428"/>
      <c r="K162" s="143"/>
    </row>
    <row r="163" spans="1:11" ht="15.6" x14ac:dyDescent="0.3">
      <c r="A163" s="429"/>
      <c r="B163" s="429"/>
      <c r="C163" s="430"/>
      <c r="D163" s="279"/>
      <c r="E163" s="279"/>
      <c r="F163" s="430"/>
      <c r="G163" s="430"/>
      <c r="H163" s="430"/>
      <c r="I163" s="430"/>
      <c r="J163" s="430"/>
      <c r="K163" s="280"/>
    </row>
    <row r="164" spans="1:11" ht="16.2" thickBot="1" x14ac:dyDescent="0.35">
      <c r="A164" s="362" t="s">
        <v>1254</v>
      </c>
      <c r="B164" s="309"/>
      <c r="C164" s="363"/>
      <c r="D164" s="363"/>
      <c r="E164" s="363"/>
      <c r="F164" s="363"/>
      <c r="G164" s="363"/>
      <c r="H164" s="363"/>
      <c r="I164" s="363"/>
      <c r="J164" s="363"/>
      <c r="K164" s="420"/>
    </row>
    <row r="165" spans="1:11" ht="27.6" thickBot="1" x14ac:dyDescent="0.35">
      <c r="A165" s="354" t="s">
        <v>0</v>
      </c>
      <c r="B165" s="318" t="s">
        <v>1</v>
      </c>
      <c r="C165" s="381" t="s">
        <v>2</v>
      </c>
      <c r="D165" s="355" t="s">
        <v>854</v>
      </c>
      <c r="E165" s="573" t="s">
        <v>855</v>
      </c>
      <c r="F165" s="574"/>
      <c r="G165" s="574"/>
      <c r="H165" s="575"/>
      <c r="I165" s="416"/>
      <c r="J165" s="357" t="s">
        <v>856</v>
      </c>
      <c r="K165" s="351"/>
    </row>
    <row r="166" spans="1:11" ht="16.2" thickBot="1" x14ac:dyDescent="0.35">
      <c r="A166" s="431">
        <v>1</v>
      </c>
      <c r="B166" s="270" t="s">
        <v>52</v>
      </c>
      <c r="C166" s="269">
        <v>1788</v>
      </c>
      <c r="D166" s="281">
        <v>2744</v>
      </c>
      <c r="E166" s="281">
        <v>500</v>
      </c>
      <c r="F166" s="281">
        <v>1500</v>
      </c>
      <c r="G166" s="281">
        <v>640</v>
      </c>
      <c r="H166" s="281"/>
      <c r="I166" s="281">
        <f>SUM(E166:H166)</f>
        <v>2640</v>
      </c>
      <c r="J166" s="281">
        <f t="shared" ref="J166:J167" si="33">D166-E166-F166-G166-H166</f>
        <v>104</v>
      </c>
      <c r="K166" s="351" t="s">
        <v>1723</v>
      </c>
    </row>
    <row r="167" spans="1:11" ht="16.2" thickBot="1" x14ac:dyDescent="0.35">
      <c r="A167" s="432">
        <v>2</v>
      </c>
      <c r="B167" s="288" t="s">
        <v>525</v>
      </c>
      <c r="C167" s="407">
        <v>1791</v>
      </c>
      <c r="D167" s="281">
        <v>2744</v>
      </c>
      <c r="E167" s="284">
        <v>700</v>
      </c>
      <c r="F167" s="284">
        <v>1045</v>
      </c>
      <c r="G167" s="534">
        <v>999</v>
      </c>
      <c r="H167" s="284"/>
      <c r="I167" s="284">
        <f>SUM(E167:H167)</f>
        <v>2744</v>
      </c>
      <c r="J167" s="284">
        <f t="shared" si="33"/>
        <v>0</v>
      </c>
      <c r="K167" s="535" t="s">
        <v>1747</v>
      </c>
    </row>
    <row r="168" spans="1:11" ht="15.6" x14ac:dyDescent="0.3">
      <c r="A168" s="145"/>
      <c r="B168" s="285"/>
      <c r="C168" s="373"/>
      <c r="D168" s="494">
        <f>SUM(D166:D167)</f>
        <v>5488</v>
      </c>
      <c r="E168" s="494">
        <f t="shared" ref="E168:J168" si="34">SUM(E166:E167)</f>
        <v>1200</v>
      </c>
      <c r="F168" s="494">
        <f t="shared" si="34"/>
        <v>2545</v>
      </c>
      <c r="G168" s="494">
        <f t="shared" si="34"/>
        <v>1639</v>
      </c>
      <c r="H168" s="494">
        <f t="shared" si="34"/>
        <v>0</v>
      </c>
      <c r="I168" s="494">
        <f t="shared" si="34"/>
        <v>5384</v>
      </c>
      <c r="J168" s="494">
        <f t="shared" si="34"/>
        <v>104</v>
      </c>
      <c r="K168" s="148"/>
    </row>
    <row r="169" spans="1:11" ht="15.6" x14ac:dyDescent="0.3">
      <c r="A169" s="141"/>
      <c r="B169" s="300"/>
      <c r="C169" s="141"/>
      <c r="D169" s="142"/>
      <c r="E169" s="142"/>
      <c r="F169" s="142"/>
      <c r="G169" s="142"/>
      <c r="H169" s="142"/>
      <c r="I169" s="142"/>
      <c r="J169" s="142"/>
      <c r="K169" s="143"/>
    </row>
    <row r="170" spans="1:11" ht="15.6" x14ac:dyDescent="0.3">
      <c r="A170" s="361"/>
      <c r="B170" s="303"/>
      <c r="C170" s="361"/>
      <c r="D170" s="279"/>
      <c r="E170" s="279"/>
      <c r="F170" s="279"/>
      <c r="G170" s="279"/>
      <c r="H170" s="279"/>
      <c r="I170" s="279"/>
      <c r="J170" s="279"/>
      <c r="K170" s="280"/>
    </row>
    <row r="171" spans="1:11" ht="16.2" thickBot="1" x14ac:dyDescent="0.35">
      <c r="A171" s="362" t="s">
        <v>17</v>
      </c>
      <c r="B171" s="309"/>
      <c r="C171" s="363"/>
      <c r="D171" s="363"/>
      <c r="E171" s="363"/>
      <c r="F171" s="363"/>
      <c r="G171" s="363"/>
      <c r="H171" s="363"/>
      <c r="I171" s="363"/>
      <c r="J171" s="363"/>
      <c r="K171" s="420"/>
    </row>
    <row r="172" spans="1:11" ht="27.6" thickBot="1" x14ac:dyDescent="0.35">
      <c r="A172" s="354" t="s">
        <v>0</v>
      </c>
      <c r="B172" s="295" t="s">
        <v>1</v>
      </c>
      <c r="C172" s="354" t="s">
        <v>2</v>
      </c>
      <c r="D172" s="355" t="s">
        <v>854</v>
      </c>
      <c r="E172" s="573" t="s">
        <v>855</v>
      </c>
      <c r="F172" s="574"/>
      <c r="G172" s="574"/>
      <c r="H172" s="575"/>
      <c r="I172" s="416"/>
      <c r="J172" s="357" t="s">
        <v>856</v>
      </c>
      <c r="K172" s="351"/>
    </row>
    <row r="173" spans="1:11" ht="16.2" thickBot="1" x14ac:dyDescent="0.35">
      <c r="A173" s="354"/>
      <c r="B173" s="295" t="s">
        <v>1671</v>
      </c>
      <c r="C173" s="354"/>
      <c r="D173" s="281">
        <v>6672</v>
      </c>
      <c r="E173" s="482">
        <v>4600</v>
      </c>
      <c r="F173" s="483">
        <v>1200</v>
      </c>
      <c r="G173" s="483"/>
      <c r="H173" s="484"/>
      <c r="I173" s="484"/>
      <c r="J173" s="357"/>
      <c r="K173" s="351"/>
    </row>
    <row r="174" spans="1:11" ht="16.2" thickBot="1" x14ac:dyDescent="0.35">
      <c r="A174" s="292">
        <v>1</v>
      </c>
      <c r="B174" s="112" t="s">
        <v>1334</v>
      </c>
      <c r="C174" s="315"/>
      <c r="D174" s="281">
        <v>6672</v>
      </c>
      <c r="E174" s="281">
        <v>2040</v>
      </c>
      <c r="F174" s="281">
        <v>4632</v>
      </c>
      <c r="G174" s="281"/>
      <c r="H174" s="281"/>
      <c r="I174" s="281">
        <f>SUM(E174:H174)</f>
        <v>6672</v>
      </c>
      <c r="J174" s="281">
        <f t="shared" ref="J174:J188" si="35">D174-E174-F174-G174-H174</f>
        <v>0</v>
      </c>
      <c r="K174" s="351" t="s">
        <v>1395</v>
      </c>
    </row>
    <row r="175" spans="1:11" ht="16.2" thickBot="1" x14ac:dyDescent="0.35">
      <c r="A175" s="316">
        <v>2</v>
      </c>
      <c r="B175" s="287" t="s">
        <v>1335</v>
      </c>
      <c r="C175" s="283"/>
      <c r="D175" s="281">
        <v>6672</v>
      </c>
      <c r="E175" s="284">
        <v>2040</v>
      </c>
      <c r="F175" s="284">
        <v>2000</v>
      </c>
      <c r="G175" s="284"/>
      <c r="H175" s="284"/>
      <c r="I175" s="284">
        <f>SUM(E175:H175)</f>
        <v>4040</v>
      </c>
      <c r="J175" s="284">
        <f t="shared" si="35"/>
        <v>2632</v>
      </c>
      <c r="K175" s="352" t="s">
        <v>1395</v>
      </c>
    </row>
    <row r="176" spans="1:11" ht="16.2" thickBot="1" x14ac:dyDescent="0.35">
      <c r="A176" s="292">
        <v>3</v>
      </c>
      <c r="B176" s="286" t="s">
        <v>1617</v>
      </c>
      <c r="C176" s="277">
        <v>3667</v>
      </c>
      <c r="D176" s="281">
        <v>6672</v>
      </c>
      <c r="E176" s="142">
        <v>2000</v>
      </c>
      <c r="F176" s="142">
        <v>530</v>
      </c>
      <c r="G176" s="142"/>
      <c r="H176" s="142"/>
      <c r="I176" s="284"/>
      <c r="J176" s="284">
        <f t="shared" si="35"/>
        <v>4142</v>
      </c>
      <c r="K176" s="284" t="s">
        <v>1395</v>
      </c>
    </row>
    <row r="177" spans="1:11" ht="16.2" thickBot="1" x14ac:dyDescent="0.35">
      <c r="A177" s="316">
        <v>4</v>
      </c>
      <c r="B177" s="289" t="s">
        <v>1336</v>
      </c>
      <c r="C177" s="269"/>
      <c r="D177" s="281">
        <v>6672</v>
      </c>
      <c r="E177" s="271">
        <v>2040</v>
      </c>
      <c r="F177" s="271">
        <v>3000</v>
      </c>
      <c r="G177" s="271"/>
      <c r="H177" s="271"/>
      <c r="I177" s="284">
        <f t="shared" ref="I177:I187" si="36">SUM(E177:H177)</f>
        <v>5040</v>
      </c>
      <c r="J177" s="284">
        <f t="shared" si="35"/>
        <v>1632</v>
      </c>
      <c r="K177" s="377"/>
    </row>
    <row r="178" spans="1:11" ht="16.2" thickBot="1" x14ac:dyDescent="0.35">
      <c r="A178" s="292">
        <v>5</v>
      </c>
      <c r="B178" s="349" t="s">
        <v>1575</v>
      </c>
      <c r="C178" s="407"/>
      <c r="D178" s="284">
        <v>6622</v>
      </c>
      <c r="E178" s="379">
        <v>1990</v>
      </c>
      <c r="F178" s="379">
        <v>2000</v>
      </c>
      <c r="G178" s="379"/>
      <c r="H178" s="379"/>
      <c r="I178" s="284">
        <f t="shared" si="36"/>
        <v>3990</v>
      </c>
      <c r="J178" s="284">
        <f t="shared" si="35"/>
        <v>2632</v>
      </c>
      <c r="K178" s="424" t="s">
        <v>1395</v>
      </c>
    </row>
    <row r="179" spans="1:11" ht="16.2" thickBot="1" x14ac:dyDescent="0.35">
      <c r="A179" s="316">
        <v>6</v>
      </c>
      <c r="B179" s="349" t="s">
        <v>1337</v>
      </c>
      <c r="C179" s="407"/>
      <c r="D179" s="284">
        <v>6672</v>
      </c>
      <c r="E179" s="379">
        <v>2040</v>
      </c>
      <c r="F179" s="379"/>
      <c r="G179" s="379"/>
      <c r="H179" s="379"/>
      <c r="I179" s="284">
        <f t="shared" si="36"/>
        <v>2040</v>
      </c>
      <c r="J179" s="284">
        <f t="shared" si="35"/>
        <v>4632</v>
      </c>
      <c r="K179" s="424"/>
    </row>
    <row r="180" spans="1:11" ht="16.2" thickBot="1" x14ac:dyDescent="0.35">
      <c r="A180" s="292">
        <v>7</v>
      </c>
      <c r="B180" s="289" t="s">
        <v>1379</v>
      </c>
      <c r="C180" s="269"/>
      <c r="D180" s="271">
        <v>6672</v>
      </c>
      <c r="E180" s="271">
        <v>1700</v>
      </c>
      <c r="F180" s="271">
        <v>2000</v>
      </c>
      <c r="G180" s="271"/>
      <c r="H180" s="271"/>
      <c r="I180" s="271">
        <f t="shared" si="36"/>
        <v>3700</v>
      </c>
      <c r="J180" s="284">
        <f t="shared" si="35"/>
        <v>2972</v>
      </c>
      <c r="K180" s="377"/>
    </row>
    <row r="181" spans="1:11" ht="16.2" thickBot="1" x14ac:dyDescent="0.35">
      <c r="A181" s="316">
        <v>8</v>
      </c>
      <c r="B181" s="349" t="s">
        <v>1403</v>
      </c>
      <c r="C181" s="407"/>
      <c r="D181" s="379">
        <v>6672</v>
      </c>
      <c r="E181" s="379">
        <v>1500</v>
      </c>
      <c r="F181" s="379">
        <v>540</v>
      </c>
      <c r="G181" s="379">
        <v>1500</v>
      </c>
      <c r="H181" s="379"/>
      <c r="I181" s="379">
        <f t="shared" si="36"/>
        <v>3540</v>
      </c>
      <c r="J181" s="284">
        <f t="shared" si="35"/>
        <v>3132</v>
      </c>
      <c r="K181" s="424" t="s">
        <v>1395</v>
      </c>
    </row>
    <row r="182" spans="1:11" ht="16.2" thickBot="1" x14ac:dyDescent="0.35">
      <c r="A182" s="292">
        <v>9</v>
      </c>
      <c r="B182" s="289" t="s">
        <v>1424</v>
      </c>
      <c r="C182" s="269"/>
      <c r="D182" s="271">
        <v>6672</v>
      </c>
      <c r="E182" s="271">
        <v>2040</v>
      </c>
      <c r="F182" s="271">
        <v>1700</v>
      </c>
      <c r="G182" s="271">
        <v>1200</v>
      </c>
      <c r="H182" s="271"/>
      <c r="I182" s="271">
        <f t="shared" si="36"/>
        <v>4940</v>
      </c>
      <c r="J182" s="271">
        <f t="shared" si="35"/>
        <v>1732</v>
      </c>
      <c r="K182" s="377" t="s">
        <v>1395</v>
      </c>
    </row>
    <row r="183" spans="1:11" ht="16.2" thickBot="1" x14ac:dyDescent="0.35">
      <c r="A183" s="316">
        <v>10</v>
      </c>
      <c r="B183" s="289" t="s">
        <v>1430</v>
      </c>
      <c r="C183" s="269"/>
      <c r="D183" s="271">
        <v>6672</v>
      </c>
      <c r="E183" s="271">
        <v>2040</v>
      </c>
      <c r="F183" s="271">
        <v>1500</v>
      </c>
      <c r="G183" s="271"/>
      <c r="H183" s="271"/>
      <c r="I183" s="271">
        <f t="shared" si="36"/>
        <v>3540</v>
      </c>
      <c r="J183" s="271">
        <f t="shared" si="35"/>
        <v>3132</v>
      </c>
      <c r="K183" s="377" t="s">
        <v>1395</v>
      </c>
    </row>
    <row r="184" spans="1:11" ht="16.2" thickBot="1" x14ac:dyDescent="0.35">
      <c r="A184" s="292">
        <v>11</v>
      </c>
      <c r="B184" s="349" t="s">
        <v>1611</v>
      </c>
      <c r="C184" s="407"/>
      <c r="D184" s="379">
        <v>6672</v>
      </c>
      <c r="E184" s="379">
        <v>2040</v>
      </c>
      <c r="F184" s="379">
        <v>1200</v>
      </c>
      <c r="G184" s="379"/>
      <c r="H184" s="379"/>
      <c r="I184" s="379">
        <f t="shared" si="36"/>
        <v>3240</v>
      </c>
      <c r="J184" s="379">
        <f t="shared" si="35"/>
        <v>3432</v>
      </c>
      <c r="K184" s="377" t="s">
        <v>1395</v>
      </c>
    </row>
    <row r="185" spans="1:11" ht="16.2" thickBot="1" x14ac:dyDescent="0.35">
      <c r="A185" s="316">
        <v>12</v>
      </c>
      <c r="B185" s="289" t="s">
        <v>1500</v>
      </c>
      <c r="C185" s="269"/>
      <c r="D185" s="271">
        <v>6672</v>
      </c>
      <c r="E185" s="271">
        <v>2040</v>
      </c>
      <c r="F185" s="271"/>
      <c r="G185" s="271"/>
      <c r="H185" s="271"/>
      <c r="I185" s="271">
        <f t="shared" si="36"/>
        <v>2040</v>
      </c>
      <c r="J185" s="271">
        <f t="shared" si="35"/>
        <v>4632</v>
      </c>
      <c r="K185" s="377"/>
    </row>
    <row r="186" spans="1:11" ht="16.2" thickBot="1" x14ac:dyDescent="0.35">
      <c r="A186" s="292">
        <v>13</v>
      </c>
      <c r="B186" s="289" t="s">
        <v>1743</v>
      </c>
      <c r="C186" s="269"/>
      <c r="D186" s="271">
        <v>6672</v>
      </c>
      <c r="E186" s="271">
        <v>2040</v>
      </c>
      <c r="F186" s="271">
        <v>4632</v>
      </c>
      <c r="G186" s="271"/>
      <c r="H186" s="271"/>
      <c r="I186" s="271">
        <f t="shared" si="36"/>
        <v>6672</v>
      </c>
      <c r="J186" s="271">
        <f t="shared" si="35"/>
        <v>0</v>
      </c>
      <c r="K186" s="377" t="s">
        <v>1395</v>
      </c>
    </row>
    <row r="187" spans="1:11" ht="16.2" thickBot="1" x14ac:dyDescent="0.35">
      <c r="A187" s="316">
        <v>14</v>
      </c>
      <c r="B187" s="289" t="s">
        <v>1627</v>
      </c>
      <c r="C187" s="269">
        <v>3663</v>
      </c>
      <c r="D187" s="271">
        <v>6672</v>
      </c>
      <c r="E187" s="271">
        <v>2040</v>
      </c>
      <c r="F187" s="271">
        <v>2450</v>
      </c>
      <c r="G187" s="271"/>
      <c r="H187" s="271"/>
      <c r="I187" s="271">
        <f t="shared" si="36"/>
        <v>4490</v>
      </c>
      <c r="J187" s="271">
        <f t="shared" si="35"/>
        <v>2182</v>
      </c>
      <c r="K187" s="377" t="s">
        <v>1395</v>
      </c>
    </row>
    <row r="188" spans="1:11" ht="16.2" thickBot="1" x14ac:dyDescent="0.35">
      <c r="A188" s="292">
        <v>15</v>
      </c>
      <c r="B188" s="286" t="s">
        <v>1637</v>
      </c>
      <c r="C188" s="277">
        <v>3758</v>
      </c>
      <c r="D188" s="271">
        <v>6672</v>
      </c>
      <c r="E188" s="142">
        <v>2500</v>
      </c>
      <c r="F188" s="142"/>
      <c r="G188" s="142"/>
      <c r="H188" s="142"/>
      <c r="I188" s="142"/>
      <c r="J188" s="271">
        <f t="shared" si="35"/>
        <v>4172</v>
      </c>
      <c r="K188" s="143"/>
    </row>
    <row r="189" spans="1:11" ht="15.6" x14ac:dyDescent="0.3">
      <c r="A189" s="141"/>
      <c r="B189" s="286"/>
      <c r="C189" s="277"/>
      <c r="D189" s="142"/>
      <c r="E189" s="142"/>
      <c r="F189" s="142"/>
      <c r="G189" s="142"/>
      <c r="H189" s="142"/>
      <c r="I189" s="142"/>
      <c r="J189" s="142"/>
      <c r="K189" s="143"/>
    </row>
    <row r="190" spans="1:11" ht="15.6" x14ac:dyDescent="0.3">
      <c r="A190" s="141"/>
      <c r="B190" s="286"/>
      <c r="C190" s="277"/>
      <c r="D190" s="495">
        <f>SUM(D173:D188)</f>
        <v>106702</v>
      </c>
      <c r="E190" s="495">
        <f t="shared" ref="E190:J190" si="37">SUM(E173:E188)</f>
        <v>34690</v>
      </c>
      <c r="F190" s="495">
        <f t="shared" si="37"/>
        <v>27384</v>
      </c>
      <c r="G190" s="495">
        <f t="shared" si="37"/>
        <v>2700</v>
      </c>
      <c r="H190" s="495">
        <f t="shared" si="37"/>
        <v>0</v>
      </c>
      <c r="I190" s="495">
        <f t="shared" si="37"/>
        <v>53944</v>
      </c>
      <c r="J190" s="495">
        <f t="shared" si="37"/>
        <v>41056</v>
      </c>
      <c r="K190" s="143"/>
    </row>
    <row r="191" spans="1:11" ht="15.6" x14ac:dyDescent="0.3">
      <c r="A191" s="361"/>
      <c r="B191" s="303"/>
      <c r="C191" s="361"/>
      <c r="D191" s="279"/>
      <c r="E191" s="279"/>
      <c r="F191" s="279"/>
      <c r="G191" s="279"/>
      <c r="H191" s="279"/>
      <c r="I191" s="279"/>
      <c r="J191" s="279"/>
      <c r="K191" s="280"/>
    </row>
    <row r="192" spans="1:11" ht="16.2" thickBot="1" x14ac:dyDescent="0.35">
      <c r="A192" s="362" t="s">
        <v>1255</v>
      </c>
      <c r="B192" s="309"/>
      <c r="C192" s="363"/>
      <c r="D192" s="363"/>
      <c r="E192" s="363"/>
      <c r="F192" s="363"/>
      <c r="G192" s="363"/>
      <c r="H192" s="363"/>
      <c r="I192" s="363"/>
      <c r="J192" s="363"/>
      <c r="K192" s="420"/>
    </row>
    <row r="193" spans="1:11" ht="27.6" thickBot="1" x14ac:dyDescent="0.35">
      <c r="A193" s="354" t="s">
        <v>0</v>
      </c>
      <c r="B193" s="295" t="s">
        <v>1</v>
      </c>
      <c r="C193" s="354" t="s">
        <v>2</v>
      </c>
      <c r="D193" s="355" t="s">
        <v>854</v>
      </c>
      <c r="E193" s="573" t="s">
        <v>855</v>
      </c>
      <c r="F193" s="574"/>
      <c r="G193" s="574"/>
      <c r="H193" s="575"/>
      <c r="I193" s="416"/>
      <c r="J193" s="357" t="s">
        <v>856</v>
      </c>
      <c r="K193" s="351"/>
    </row>
    <row r="194" spans="1:11" ht="16.2" thickBot="1" x14ac:dyDescent="0.35">
      <c r="A194" s="315">
        <v>1</v>
      </c>
      <c r="B194" s="131" t="s">
        <v>571</v>
      </c>
      <c r="C194" s="315">
        <v>3075</v>
      </c>
      <c r="D194" s="281">
        <v>3538</v>
      </c>
      <c r="E194" s="281"/>
      <c r="F194" s="281"/>
      <c r="G194" s="281"/>
      <c r="H194" s="281"/>
      <c r="I194" s="281">
        <f>SUM(E194:H194)</f>
        <v>0</v>
      </c>
      <c r="J194" s="281">
        <f t="shared" ref="J194:J211" si="38">D194-E194-F194-G194-H194</f>
        <v>3538</v>
      </c>
      <c r="K194" s="351"/>
    </row>
    <row r="195" spans="1:11" ht="16.2" thickBot="1" x14ac:dyDescent="0.35">
      <c r="A195" s="315">
        <v>2</v>
      </c>
      <c r="B195" s="112" t="s">
        <v>573</v>
      </c>
      <c r="C195" s="292">
        <v>3094</v>
      </c>
      <c r="D195" s="281">
        <v>3538</v>
      </c>
      <c r="E195" s="281"/>
      <c r="F195" s="281"/>
      <c r="G195" s="281"/>
      <c r="H195" s="281"/>
      <c r="I195" s="281">
        <f t="shared" ref="I195:I210" si="39">SUM(E195:H195)</f>
        <v>0</v>
      </c>
      <c r="J195" s="281">
        <f t="shared" si="38"/>
        <v>3538</v>
      </c>
      <c r="K195" s="351"/>
    </row>
    <row r="196" spans="1:11" ht="16.2" thickBot="1" x14ac:dyDescent="0.35">
      <c r="A196" s="315">
        <v>4</v>
      </c>
      <c r="B196" s="131" t="s">
        <v>565</v>
      </c>
      <c r="C196" s="315"/>
      <c r="D196" s="281">
        <v>3538</v>
      </c>
      <c r="E196" s="281">
        <v>2200</v>
      </c>
      <c r="F196" s="281"/>
      <c r="G196" s="281"/>
      <c r="H196" s="281"/>
      <c r="I196" s="281">
        <f t="shared" si="39"/>
        <v>2200</v>
      </c>
      <c r="J196" s="281">
        <f t="shared" si="38"/>
        <v>1338</v>
      </c>
      <c r="K196" s="351"/>
    </row>
    <row r="197" spans="1:11" ht="16.2" thickBot="1" x14ac:dyDescent="0.35">
      <c r="A197" s="315">
        <v>5</v>
      </c>
      <c r="B197" s="112" t="s">
        <v>850</v>
      </c>
      <c r="C197" s="315"/>
      <c r="D197" s="281">
        <v>3538</v>
      </c>
      <c r="E197" s="281"/>
      <c r="F197" s="281"/>
      <c r="G197" s="281"/>
      <c r="H197" s="281"/>
      <c r="I197" s="281">
        <f t="shared" si="39"/>
        <v>0</v>
      </c>
      <c r="J197" s="281">
        <f t="shared" si="38"/>
        <v>3538</v>
      </c>
      <c r="K197" s="351" t="s">
        <v>1395</v>
      </c>
    </row>
    <row r="198" spans="1:11" ht="16.2" thickBot="1" x14ac:dyDescent="0.35">
      <c r="A198" s="315">
        <v>6</v>
      </c>
      <c r="B198" s="131" t="s">
        <v>567</v>
      </c>
      <c r="C198" s="315">
        <v>3079</v>
      </c>
      <c r="D198" s="281">
        <v>3538</v>
      </c>
      <c r="E198" s="281">
        <v>1500</v>
      </c>
      <c r="F198" s="281"/>
      <c r="G198" s="281"/>
      <c r="H198" s="281"/>
      <c r="I198" s="281">
        <f t="shared" si="39"/>
        <v>1500</v>
      </c>
      <c r="J198" s="281">
        <f t="shared" si="38"/>
        <v>2038</v>
      </c>
      <c r="K198" s="351" t="s">
        <v>1395</v>
      </c>
    </row>
    <row r="199" spans="1:11" ht="16.2" thickBot="1" x14ac:dyDescent="0.35">
      <c r="A199" s="315">
        <v>7</v>
      </c>
      <c r="B199" s="112" t="s">
        <v>39</v>
      </c>
      <c r="C199" s="315"/>
      <c r="D199" s="281">
        <v>3538</v>
      </c>
      <c r="E199" s="281"/>
      <c r="F199" s="281"/>
      <c r="G199" s="281"/>
      <c r="H199" s="281"/>
      <c r="I199" s="281">
        <f t="shared" si="39"/>
        <v>0</v>
      </c>
      <c r="J199" s="281">
        <f t="shared" si="38"/>
        <v>3538</v>
      </c>
      <c r="K199" s="351"/>
    </row>
    <row r="200" spans="1:11" ht="16.2" thickBot="1" x14ac:dyDescent="0.35">
      <c r="A200" s="315">
        <v>8</v>
      </c>
      <c r="B200" s="188" t="s">
        <v>566</v>
      </c>
      <c r="C200" s="277">
        <v>3096</v>
      </c>
      <c r="D200" s="281">
        <v>3538</v>
      </c>
      <c r="E200" s="281">
        <v>3548</v>
      </c>
      <c r="F200" s="281"/>
      <c r="G200" s="281"/>
      <c r="H200" s="281"/>
      <c r="I200" s="281">
        <f t="shared" si="39"/>
        <v>3548</v>
      </c>
      <c r="J200" s="281">
        <f t="shared" si="38"/>
        <v>-10</v>
      </c>
      <c r="K200" s="351" t="s">
        <v>1378</v>
      </c>
    </row>
    <row r="201" spans="1:11" ht="16.2" thickBot="1" x14ac:dyDescent="0.35">
      <c r="A201" s="315">
        <v>9</v>
      </c>
      <c r="B201" s="112" t="s">
        <v>1175</v>
      </c>
      <c r="C201" s="315"/>
      <c r="D201" s="281">
        <v>3538</v>
      </c>
      <c r="E201" s="281">
        <v>3000</v>
      </c>
      <c r="F201" s="281"/>
      <c r="G201" s="281"/>
      <c r="H201" s="281"/>
      <c r="I201" s="281">
        <f t="shared" si="39"/>
        <v>3000</v>
      </c>
      <c r="J201" s="281">
        <f t="shared" si="38"/>
        <v>538</v>
      </c>
      <c r="K201" s="351" t="s">
        <v>1378</v>
      </c>
    </row>
    <row r="202" spans="1:11" ht="16.2" thickBot="1" x14ac:dyDescent="0.35">
      <c r="A202" s="315">
        <v>11</v>
      </c>
      <c r="B202" s="134" t="s">
        <v>563</v>
      </c>
      <c r="C202" s="315"/>
      <c r="D202" s="281">
        <v>3538</v>
      </c>
      <c r="E202" s="281">
        <v>2538</v>
      </c>
      <c r="F202" s="281">
        <v>1000</v>
      </c>
      <c r="G202" s="281"/>
      <c r="H202" s="281"/>
      <c r="I202" s="281">
        <f t="shared" si="39"/>
        <v>3538</v>
      </c>
      <c r="J202" s="281">
        <f t="shared" si="38"/>
        <v>0</v>
      </c>
      <c r="K202" s="351" t="s">
        <v>1756</v>
      </c>
    </row>
    <row r="203" spans="1:11" ht="16.2" thickBot="1" x14ac:dyDescent="0.35">
      <c r="A203" s="315">
        <v>12</v>
      </c>
      <c r="B203" s="134" t="s">
        <v>562</v>
      </c>
      <c r="C203" s="315"/>
      <c r="D203" s="281">
        <v>3538</v>
      </c>
      <c r="E203" s="281">
        <v>2000</v>
      </c>
      <c r="F203" s="281"/>
      <c r="G203" s="281"/>
      <c r="H203" s="281"/>
      <c r="I203" s="281">
        <f t="shared" si="39"/>
        <v>2000</v>
      </c>
      <c r="J203" s="281">
        <f t="shared" si="38"/>
        <v>1538</v>
      </c>
      <c r="K203" s="351" t="s">
        <v>1395</v>
      </c>
    </row>
    <row r="204" spans="1:11" ht="16.2" thickBot="1" x14ac:dyDescent="0.35">
      <c r="A204" s="315">
        <v>13</v>
      </c>
      <c r="B204" s="131" t="s">
        <v>572</v>
      </c>
      <c r="C204" s="315">
        <v>3085</v>
      </c>
      <c r="D204" s="281">
        <v>3538</v>
      </c>
      <c r="E204" s="281"/>
      <c r="F204" s="281"/>
      <c r="G204" s="281"/>
      <c r="H204" s="281"/>
      <c r="I204" s="281">
        <f t="shared" si="39"/>
        <v>0</v>
      </c>
      <c r="J204" s="281">
        <f t="shared" si="38"/>
        <v>3538</v>
      </c>
      <c r="K204" s="351"/>
    </row>
    <row r="205" spans="1:11" ht="16.2" thickBot="1" x14ac:dyDescent="0.35">
      <c r="A205" s="315">
        <v>14</v>
      </c>
      <c r="B205" s="131" t="s">
        <v>568</v>
      </c>
      <c r="C205" s="315">
        <v>3086</v>
      </c>
      <c r="D205" s="281">
        <v>3538</v>
      </c>
      <c r="E205" s="281">
        <v>2000</v>
      </c>
      <c r="F205" s="281"/>
      <c r="G205" s="281"/>
      <c r="H205" s="281"/>
      <c r="I205" s="281">
        <f t="shared" si="39"/>
        <v>2000</v>
      </c>
      <c r="J205" s="281">
        <f t="shared" si="38"/>
        <v>1538</v>
      </c>
      <c r="K205" s="351"/>
    </row>
    <row r="206" spans="1:11" ht="16.2" thickBot="1" x14ac:dyDescent="0.35">
      <c r="A206" s="315">
        <v>15</v>
      </c>
      <c r="B206" s="131" t="s">
        <v>554</v>
      </c>
      <c r="C206" s="315">
        <v>3119</v>
      </c>
      <c r="D206" s="281">
        <v>3538</v>
      </c>
      <c r="E206" s="281"/>
      <c r="F206" s="281"/>
      <c r="G206" s="281"/>
      <c r="H206" s="281"/>
      <c r="I206" s="281">
        <f t="shared" si="39"/>
        <v>0</v>
      </c>
      <c r="J206" s="281">
        <f t="shared" si="38"/>
        <v>3538</v>
      </c>
      <c r="K206" s="351"/>
    </row>
    <row r="207" spans="1:11" ht="16.2" thickBot="1" x14ac:dyDescent="0.35">
      <c r="A207" s="315">
        <v>16</v>
      </c>
      <c r="B207" s="131" t="s">
        <v>564</v>
      </c>
      <c r="C207" s="315">
        <v>3088</v>
      </c>
      <c r="D207" s="281">
        <v>3538</v>
      </c>
      <c r="E207" s="281">
        <v>2300</v>
      </c>
      <c r="F207" s="281"/>
      <c r="G207" s="281"/>
      <c r="H207" s="281"/>
      <c r="I207" s="281">
        <f t="shared" si="39"/>
        <v>2300</v>
      </c>
      <c r="J207" s="281">
        <f t="shared" si="38"/>
        <v>1238</v>
      </c>
      <c r="K207" s="6" t="s">
        <v>1395</v>
      </c>
    </row>
    <row r="208" spans="1:11" ht="16.2" thickBot="1" x14ac:dyDescent="0.35">
      <c r="A208" s="315">
        <v>17</v>
      </c>
      <c r="B208" s="131" t="s">
        <v>569</v>
      </c>
      <c r="C208" s="315">
        <v>3057</v>
      </c>
      <c r="D208" s="281">
        <v>3538</v>
      </c>
      <c r="E208" s="281"/>
      <c r="F208" s="281"/>
      <c r="G208" s="281"/>
      <c r="H208" s="281"/>
      <c r="I208" s="281">
        <f t="shared" si="39"/>
        <v>0</v>
      </c>
      <c r="J208" s="281">
        <f t="shared" si="38"/>
        <v>3538</v>
      </c>
      <c r="K208" s="351"/>
    </row>
    <row r="209" spans="1:11" ht="16.2" thickBot="1" x14ac:dyDescent="0.35">
      <c r="A209" s="315">
        <v>18</v>
      </c>
      <c r="B209" s="131" t="s">
        <v>570</v>
      </c>
      <c r="C209" s="315">
        <v>3089</v>
      </c>
      <c r="D209" s="281">
        <v>3538</v>
      </c>
      <c r="E209" s="281">
        <v>2000</v>
      </c>
      <c r="F209" s="281"/>
      <c r="G209" s="281"/>
      <c r="H209" s="281"/>
      <c r="I209" s="281">
        <f t="shared" si="39"/>
        <v>2000</v>
      </c>
      <c r="J209" s="281">
        <f t="shared" si="38"/>
        <v>1538</v>
      </c>
      <c r="K209" s="294" t="s">
        <v>1654</v>
      </c>
    </row>
    <row r="210" spans="1:11" ht="16.2" thickBot="1" x14ac:dyDescent="0.35">
      <c r="A210" s="315">
        <v>19</v>
      </c>
      <c r="B210" s="131" t="s">
        <v>896</v>
      </c>
      <c r="C210" s="315"/>
      <c r="D210" s="281">
        <v>3538</v>
      </c>
      <c r="E210" s="281"/>
      <c r="F210" s="281"/>
      <c r="G210" s="281"/>
      <c r="H210" s="281"/>
      <c r="I210" s="281">
        <f t="shared" si="39"/>
        <v>0</v>
      </c>
      <c r="J210" s="281">
        <f t="shared" si="38"/>
        <v>3538</v>
      </c>
      <c r="K210" s="351"/>
    </row>
    <row r="211" spans="1:11" ht="16.2" thickBot="1" x14ac:dyDescent="0.35">
      <c r="A211" s="283">
        <v>20</v>
      </c>
      <c r="B211" s="282" t="s">
        <v>1176</v>
      </c>
      <c r="C211" s="283">
        <v>3077</v>
      </c>
      <c r="D211" s="281">
        <v>3538</v>
      </c>
      <c r="E211" s="284"/>
      <c r="F211" s="284"/>
      <c r="G211" s="284"/>
      <c r="H211" s="284"/>
      <c r="I211" s="284">
        <f t="shared" ref="I211" si="40">SUM(E211:H211)</f>
        <v>0</v>
      </c>
      <c r="J211" s="284">
        <f t="shared" si="38"/>
        <v>3538</v>
      </c>
      <c r="K211" s="352"/>
    </row>
    <row r="212" spans="1:11" ht="15.6" x14ac:dyDescent="0.3">
      <c r="A212" s="373"/>
      <c r="B212" s="187"/>
      <c r="C212" s="373"/>
      <c r="D212" s="494">
        <f>SUM(D194:D211)</f>
        <v>63684</v>
      </c>
      <c r="E212" s="494">
        <f t="shared" ref="E212:J212" si="41">SUM(E194:E211)</f>
        <v>21086</v>
      </c>
      <c r="F212" s="494">
        <f t="shared" si="41"/>
        <v>1000</v>
      </c>
      <c r="G212" s="494">
        <f t="shared" si="41"/>
        <v>0</v>
      </c>
      <c r="H212" s="494">
        <f t="shared" si="41"/>
        <v>0</v>
      </c>
      <c r="I212" s="494">
        <f t="shared" si="41"/>
        <v>22086</v>
      </c>
      <c r="J212" s="494">
        <f t="shared" si="41"/>
        <v>41598</v>
      </c>
      <c r="K212" s="148"/>
    </row>
    <row r="213" spans="1:11" ht="15.6" x14ac:dyDescent="0.3">
      <c r="A213" s="277"/>
      <c r="B213" s="188"/>
      <c r="C213" s="277"/>
      <c r="D213" s="142"/>
      <c r="E213" s="142"/>
      <c r="F213" s="142"/>
      <c r="G213" s="142"/>
      <c r="H213" s="142"/>
      <c r="I213" s="142"/>
      <c r="J213" s="142"/>
      <c r="K213" s="143"/>
    </row>
    <row r="214" spans="1:11" ht="15.6" x14ac:dyDescent="0.3">
      <c r="A214" s="280"/>
      <c r="B214" s="280"/>
      <c r="C214" s="280"/>
      <c r="D214" s="279"/>
      <c r="E214" s="279"/>
      <c r="F214" s="279"/>
      <c r="G214" s="279"/>
      <c r="H214" s="279"/>
      <c r="I214" s="279"/>
      <c r="J214" s="279"/>
      <c r="K214" s="280"/>
    </row>
    <row r="215" spans="1:11" ht="16.2" thickBot="1" x14ac:dyDescent="0.35">
      <c r="A215" s="362" t="s">
        <v>1256</v>
      </c>
      <c r="B215" s="309"/>
      <c r="C215" s="363"/>
      <c r="D215" s="363"/>
      <c r="E215" s="363"/>
      <c r="F215" s="363"/>
      <c r="G215" s="363"/>
      <c r="H215" s="363"/>
      <c r="I215" s="363"/>
      <c r="J215" s="363"/>
      <c r="K215" s="420"/>
    </row>
    <row r="216" spans="1:11" ht="27.6" thickBot="1" x14ac:dyDescent="0.35">
      <c r="A216" s="354" t="s">
        <v>0</v>
      </c>
      <c r="B216" s="295" t="s">
        <v>1</v>
      </c>
      <c r="C216" s="354" t="s">
        <v>2</v>
      </c>
      <c r="D216" s="355" t="s">
        <v>854</v>
      </c>
      <c r="E216" s="573" t="s">
        <v>855</v>
      </c>
      <c r="F216" s="574"/>
      <c r="G216" s="574"/>
      <c r="H216" s="575"/>
      <c r="I216" s="416"/>
      <c r="J216" s="357" t="s">
        <v>856</v>
      </c>
      <c r="K216" s="351"/>
    </row>
    <row r="217" spans="1:11" ht="16.2" thickBot="1" x14ac:dyDescent="0.35">
      <c r="A217" s="315">
        <v>1</v>
      </c>
      <c r="B217" s="112" t="s">
        <v>560</v>
      </c>
      <c r="C217" s="267">
        <v>2556</v>
      </c>
      <c r="D217" s="281">
        <v>3203</v>
      </c>
      <c r="E217" s="281"/>
      <c r="F217" s="281"/>
      <c r="G217" s="281"/>
      <c r="H217" s="281"/>
      <c r="I217" s="281">
        <f>SUM(E217:H217)</f>
        <v>0</v>
      </c>
      <c r="J217" s="281">
        <f t="shared" ref="J217:J238" si="42">D217-E217-F217-G217-H217</f>
        <v>3203</v>
      </c>
      <c r="K217" s="351"/>
    </row>
    <row r="218" spans="1:11" ht="16.2" thickBot="1" x14ac:dyDescent="0.35">
      <c r="A218" s="315">
        <v>2</v>
      </c>
      <c r="B218" s="112" t="s">
        <v>238</v>
      </c>
      <c r="C218" s="292">
        <v>2533</v>
      </c>
      <c r="D218" s="281">
        <v>3203</v>
      </c>
      <c r="E218" s="281">
        <v>3203</v>
      </c>
      <c r="F218" s="281"/>
      <c r="G218" s="281"/>
      <c r="H218" s="281"/>
      <c r="I218" s="281">
        <f t="shared" ref="I218:I238" si="43">SUM(E218:H218)</f>
        <v>3203</v>
      </c>
      <c r="J218" s="281">
        <f t="shared" si="42"/>
        <v>0</v>
      </c>
      <c r="K218" s="351"/>
    </row>
    <row r="219" spans="1:11" ht="16.2" thickBot="1" x14ac:dyDescent="0.35">
      <c r="A219" s="315">
        <v>3</v>
      </c>
      <c r="B219" s="112" t="s">
        <v>85</v>
      </c>
      <c r="C219" s="292">
        <v>2534</v>
      </c>
      <c r="D219" s="281">
        <v>3203</v>
      </c>
      <c r="E219" s="281">
        <v>1700</v>
      </c>
      <c r="F219" s="281"/>
      <c r="G219" s="281"/>
      <c r="H219" s="281"/>
      <c r="I219" s="281">
        <f t="shared" si="43"/>
        <v>1700</v>
      </c>
      <c r="J219" s="281">
        <f t="shared" si="42"/>
        <v>1503</v>
      </c>
      <c r="K219" s="351"/>
    </row>
    <row r="220" spans="1:11" ht="16.2" thickBot="1" x14ac:dyDescent="0.35">
      <c r="A220" s="315">
        <v>4</v>
      </c>
      <c r="B220" s="112" t="s">
        <v>314</v>
      </c>
      <c r="C220" s="292">
        <v>2537</v>
      </c>
      <c r="D220" s="281">
        <v>3203</v>
      </c>
      <c r="E220" s="281">
        <v>2000</v>
      </c>
      <c r="F220" s="281"/>
      <c r="G220" s="281"/>
      <c r="H220" s="281"/>
      <c r="I220" s="281">
        <f t="shared" si="43"/>
        <v>2000</v>
      </c>
      <c r="J220" s="281">
        <f t="shared" si="42"/>
        <v>1203</v>
      </c>
      <c r="K220" s="351" t="s">
        <v>1395</v>
      </c>
    </row>
    <row r="221" spans="1:11" ht="16.2" thickBot="1" x14ac:dyDescent="0.35">
      <c r="A221" s="315">
        <v>5</v>
      </c>
      <c r="B221" s="112" t="s">
        <v>233</v>
      </c>
      <c r="C221" s="267">
        <v>2540</v>
      </c>
      <c r="D221" s="281">
        <v>3203</v>
      </c>
      <c r="E221" s="281">
        <v>2000</v>
      </c>
      <c r="F221" s="281">
        <v>1203</v>
      </c>
      <c r="G221" s="281"/>
      <c r="H221" s="281"/>
      <c r="I221" s="281">
        <f t="shared" si="43"/>
        <v>3203</v>
      </c>
      <c r="J221" s="281">
        <f t="shared" si="42"/>
        <v>0</v>
      </c>
      <c r="K221" s="351"/>
    </row>
    <row r="222" spans="1:11" ht="16.2" thickBot="1" x14ac:dyDescent="0.35">
      <c r="A222" s="315">
        <v>6</v>
      </c>
      <c r="B222" s="134" t="s">
        <v>558</v>
      </c>
      <c r="C222" s="315">
        <v>2543</v>
      </c>
      <c r="D222" s="281">
        <v>3203</v>
      </c>
      <c r="E222" s="281"/>
      <c r="F222" s="281"/>
      <c r="G222" s="281"/>
      <c r="H222" s="281"/>
      <c r="I222" s="281">
        <f t="shared" si="43"/>
        <v>0</v>
      </c>
      <c r="J222" s="281">
        <f t="shared" si="42"/>
        <v>3203</v>
      </c>
      <c r="K222" s="351"/>
    </row>
    <row r="223" spans="1:11" ht="16.2" thickBot="1" x14ac:dyDescent="0.35">
      <c r="A223" s="292">
        <v>7</v>
      </c>
      <c r="B223" s="112" t="s">
        <v>326</v>
      </c>
      <c r="C223" s="292">
        <v>2544</v>
      </c>
      <c r="D223" s="281">
        <v>3203</v>
      </c>
      <c r="E223" s="281">
        <v>2000</v>
      </c>
      <c r="F223" s="281">
        <v>1302</v>
      </c>
      <c r="G223" s="281"/>
      <c r="H223" s="281"/>
      <c r="I223" s="281">
        <f t="shared" si="43"/>
        <v>3302</v>
      </c>
      <c r="J223" s="281">
        <f t="shared" si="42"/>
        <v>-99</v>
      </c>
      <c r="K223" s="351" t="s">
        <v>1395</v>
      </c>
    </row>
    <row r="224" spans="1:11" ht="16.2" thickBot="1" x14ac:dyDescent="0.35">
      <c r="A224" s="315">
        <v>8</v>
      </c>
      <c r="B224" s="112" t="s">
        <v>39</v>
      </c>
      <c r="C224" s="292">
        <v>2545</v>
      </c>
      <c r="D224" s="281">
        <v>1787</v>
      </c>
      <c r="E224" s="281">
        <v>648</v>
      </c>
      <c r="F224" s="281">
        <v>1139</v>
      </c>
      <c r="G224" s="281"/>
      <c r="H224" s="281"/>
      <c r="I224" s="281">
        <f t="shared" si="43"/>
        <v>1787</v>
      </c>
      <c r="J224" s="281">
        <f t="shared" si="42"/>
        <v>0</v>
      </c>
      <c r="K224" s="13" t="s">
        <v>1578</v>
      </c>
    </row>
    <row r="225" spans="1:12" ht="16.2" thickBot="1" x14ac:dyDescent="0.35">
      <c r="A225" s="292">
        <v>9</v>
      </c>
      <c r="B225" s="112" t="s">
        <v>557</v>
      </c>
      <c r="C225" s="292">
        <v>2546</v>
      </c>
      <c r="D225" s="281">
        <v>3203</v>
      </c>
      <c r="E225" s="281"/>
      <c r="F225" s="281"/>
      <c r="G225" s="281"/>
      <c r="H225" s="281"/>
      <c r="I225" s="281">
        <f t="shared" si="43"/>
        <v>0</v>
      </c>
      <c r="J225" s="281">
        <f t="shared" si="42"/>
        <v>3203</v>
      </c>
      <c r="K225" s="351"/>
    </row>
    <row r="226" spans="1:12" ht="16.2" thickBot="1" x14ac:dyDescent="0.35">
      <c r="A226" s="292">
        <v>10</v>
      </c>
      <c r="B226" s="112" t="s">
        <v>38</v>
      </c>
      <c r="C226" s="292">
        <v>2547</v>
      </c>
      <c r="D226" s="281">
        <v>3203</v>
      </c>
      <c r="E226" s="281">
        <v>2669</v>
      </c>
      <c r="F226" s="281">
        <v>534</v>
      </c>
      <c r="G226" s="281"/>
      <c r="H226" s="281"/>
      <c r="I226" s="281">
        <f t="shared" si="43"/>
        <v>3203</v>
      </c>
      <c r="J226" s="281">
        <f t="shared" si="42"/>
        <v>0</v>
      </c>
      <c r="K226" s="351" t="s">
        <v>1395</v>
      </c>
    </row>
    <row r="227" spans="1:12" ht="16.2" thickBot="1" x14ac:dyDescent="0.35">
      <c r="A227" s="315">
        <v>11</v>
      </c>
      <c r="B227" s="112" t="s">
        <v>237</v>
      </c>
      <c r="C227" s="267">
        <v>2548</v>
      </c>
      <c r="D227" s="281">
        <v>3203</v>
      </c>
      <c r="E227" s="281">
        <v>2203</v>
      </c>
      <c r="F227" s="281">
        <v>1000</v>
      </c>
      <c r="G227" s="281"/>
      <c r="H227" s="281"/>
      <c r="I227" s="281">
        <f t="shared" si="43"/>
        <v>3203</v>
      </c>
      <c r="J227" s="281">
        <f t="shared" si="42"/>
        <v>0</v>
      </c>
      <c r="K227" s="351" t="s">
        <v>1395</v>
      </c>
    </row>
    <row r="228" spans="1:12" ht="16.2" thickBot="1" x14ac:dyDescent="0.35">
      <c r="A228" s="292">
        <v>12</v>
      </c>
      <c r="B228" s="131" t="s">
        <v>244</v>
      </c>
      <c r="C228" s="315">
        <v>2602</v>
      </c>
      <c r="D228" s="281">
        <v>3203</v>
      </c>
      <c r="E228" s="281"/>
      <c r="F228" s="281"/>
      <c r="G228" s="281"/>
      <c r="H228" s="281"/>
      <c r="I228" s="281">
        <f t="shared" si="43"/>
        <v>0</v>
      </c>
      <c r="J228" s="281">
        <f t="shared" si="42"/>
        <v>3203</v>
      </c>
      <c r="K228" s="351"/>
      <c r="L228" s="294" t="s">
        <v>1725</v>
      </c>
    </row>
    <row r="229" spans="1:12" ht="16.2" thickBot="1" x14ac:dyDescent="0.35">
      <c r="A229" s="292">
        <v>13</v>
      </c>
      <c r="B229" s="112" t="s">
        <v>559</v>
      </c>
      <c r="C229" s="292">
        <v>2550</v>
      </c>
      <c r="D229" s="281">
        <v>3203</v>
      </c>
      <c r="E229" s="281">
        <v>1500</v>
      </c>
      <c r="F229" s="281"/>
      <c r="G229" s="281"/>
      <c r="H229" s="281"/>
      <c r="I229" s="281">
        <f t="shared" si="43"/>
        <v>1500</v>
      </c>
      <c r="J229" s="281">
        <f t="shared" si="42"/>
        <v>1703</v>
      </c>
      <c r="K229" s="281" t="s">
        <v>1395</v>
      </c>
    </row>
    <row r="230" spans="1:12" ht="16.2" thickBot="1" x14ac:dyDescent="0.35">
      <c r="A230" s="315">
        <v>14</v>
      </c>
      <c r="B230" s="112" t="s">
        <v>697</v>
      </c>
      <c r="C230" s="267">
        <v>2552</v>
      </c>
      <c r="D230" s="281">
        <v>3203</v>
      </c>
      <c r="E230" s="281">
        <v>2669</v>
      </c>
      <c r="F230" s="281">
        <v>534</v>
      </c>
      <c r="G230" s="281"/>
      <c r="H230" s="281"/>
      <c r="I230" s="281">
        <f t="shared" si="43"/>
        <v>3203</v>
      </c>
      <c r="J230" s="281">
        <f t="shared" si="42"/>
        <v>0</v>
      </c>
      <c r="K230" s="351" t="s">
        <v>1723</v>
      </c>
    </row>
    <row r="231" spans="1:12" ht="16.2" thickBot="1" x14ac:dyDescent="0.35">
      <c r="A231" s="292">
        <v>15</v>
      </c>
      <c r="B231" s="112" t="s">
        <v>275</v>
      </c>
      <c r="C231" s="292">
        <v>2551</v>
      </c>
      <c r="D231" s="281">
        <v>3203</v>
      </c>
      <c r="E231" s="281"/>
      <c r="F231" s="281"/>
      <c r="G231" s="281"/>
      <c r="H231" s="281"/>
      <c r="I231" s="281">
        <f t="shared" si="43"/>
        <v>0</v>
      </c>
      <c r="J231" s="281">
        <f t="shared" si="42"/>
        <v>3203</v>
      </c>
      <c r="K231" s="351"/>
    </row>
    <row r="232" spans="1:12" ht="16.2" thickBot="1" x14ac:dyDescent="0.35">
      <c r="A232" s="292">
        <v>16</v>
      </c>
      <c r="B232" s="133" t="s">
        <v>556</v>
      </c>
      <c r="C232" s="292">
        <v>2554</v>
      </c>
      <c r="D232" s="281">
        <v>3203</v>
      </c>
      <c r="E232" s="281">
        <v>2000</v>
      </c>
      <c r="F232" s="281"/>
      <c r="G232" s="281"/>
      <c r="H232" s="281"/>
      <c r="I232" s="281">
        <f t="shared" si="43"/>
        <v>2000</v>
      </c>
      <c r="J232" s="281">
        <f t="shared" si="42"/>
        <v>1203</v>
      </c>
      <c r="K232" s="351" t="s">
        <v>1395</v>
      </c>
    </row>
    <row r="233" spans="1:12" ht="16.2" thickBot="1" x14ac:dyDescent="0.35">
      <c r="A233" s="315">
        <v>17</v>
      </c>
      <c r="B233" s="112" t="s">
        <v>561</v>
      </c>
      <c r="C233" s="267">
        <v>2555</v>
      </c>
      <c r="D233" s="281">
        <v>3203</v>
      </c>
      <c r="E233" s="281">
        <v>2300</v>
      </c>
      <c r="F233" s="281"/>
      <c r="G233" s="281"/>
      <c r="H233" s="281"/>
      <c r="I233" s="281">
        <f t="shared" si="43"/>
        <v>2300</v>
      </c>
      <c r="J233" s="281">
        <f t="shared" si="42"/>
        <v>903</v>
      </c>
      <c r="K233" s="351" t="s">
        <v>1395</v>
      </c>
    </row>
    <row r="234" spans="1:12" ht="16.2" thickBot="1" x14ac:dyDescent="0.35">
      <c r="A234" s="292">
        <v>18</v>
      </c>
      <c r="B234" s="131" t="s">
        <v>236</v>
      </c>
      <c r="C234" s="315">
        <v>2571</v>
      </c>
      <c r="D234" s="281">
        <v>3203</v>
      </c>
      <c r="E234" s="281">
        <v>2669</v>
      </c>
      <c r="F234" s="281">
        <v>534</v>
      </c>
      <c r="G234" s="281"/>
      <c r="H234" s="281"/>
      <c r="I234" s="281">
        <f t="shared" si="43"/>
        <v>3203</v>
      </c>
      <c r="J234" s="281">
        <f t="shared" si="42"/>
        <v>0</v>
      </c>
      <c r="K234" s="351" t="s">
        <v>1723</v>
      </c>
    </row>
    <row r="235" spans="1:12" ht="16.2" thickBot="1" x14ac:dyDescent="0.35">
      <c r="A235" s="292">
        <v>19</v>
      </c>
      <c r="B235" s="112" t="s">
        <v>234</v>
      </c>
      <c r="C235" s="292">
        <v>2572</v>
      </c>
      <c r="D235" s="281">
        <v>3203</v>
      </c>
      <c r="E235" s="281">
        <v>2669</v>
      </c>
      <c r="F235" s="281">
        <v>534</v>
      </c>
      <c r="G235" s="281"/>
      <c r="H235" s="281"/>
      <c r="I235" s="281">
        <f t="shared" si="43"/>
        <v>3203</v>
      </c>
      <c r="J235" s="281">
        <f t="shared" si="42"/>
        <v>0</v>
      </c>
      <c r="K235" s="351" t="s">
        <v>1723</v>
      </c>
    </row>
    <row r="236" spans="1:12" ht="16.2" thickBot="1" x14ac:dyDescent="0.35">
      <c r="A236" s="292">
        <v>20</v>
      </c>
      <c r="B236" s="112" t="s">
        <v>1360</v>
      </c>
      <c r="C236" s="134">
        <v>2538</v>
      </c>
      <c r="D236" s="281">
        <v>3203</v>
      </c>
      <c r="E236" s="281">
        <v>1950</v>
      </c>
      <c r="F236" s="281"/>
      <c r="G236" s="281"/>
      <c r="H236" s="281"/>
      <c r="I236" s="281">
        <f t="shared" si="43"/>
        <v>1950</v>
      </c>
      <c r="J236" s="281">
        <f t="shared" si="42"/>
        <v>1253</v>
      </c>
      <c r="K236" s="351" t="s">
        <v>1395</v>
      </c>
    </row>
    <row r="237" spans="1:12" ht="16.2" thickBot="1" x14ac:dyDescent="0.35">
      <c r="A237" s="292">
        <v>21</v>
      </c>
      <c r="B237" s="131" t="s">
        <v>1177</v>
      </c>
      <c r="C237" s="433">
        <v>2573</v>
      </c>
      <c r="D237" s="281">
        <v>3203</v>
      </c>
      <c r="E237" s="281">
        <v>1000</v>
      </c>
      <c r="F237" s="281"/>
      <c r="G237" s="281"/>
      <c r="H237" s="281"/>
      <c r="I237" s="281">
        <f t="shared" si="43"/>
        <v>1000</v>
      </c>
      <c r="J237" s="281">
        <f t="shared" si="42"/>
        <v>2203</v>
      </c>
      <c r="K237" s="351"/>
    </row>
    <row r="238" spans="1:12" ht="16.2" thickBot="1" x14ac:dyDescent="0.35">
      <c r="A238" s="316">
        <v>22</v>
      </c>
      <c r="B238" s="282" t="s">
        <v>1178</v>
      </c>
      <c r="C238" s="434">
        <v>2553</v>
      </c>
      <c r="D238" s="281">
        <v>3203</v>
      </c>
      <c r="E238" s="284"/>
      <c r="F238" s="284"/>
      <c r="G238" s="284"/>
      <c r="H238" s="284"/>
      <c r="I238" s="284">
        <f t="shared" si="43"/>
        <v>0</v>
      </c>
      <c r="J238" s="281">
        <f t="shared" si="42"/>
        <v>3203</v>
      </c>
      <c r="K238" s="352"/>
    </row>
    <row r="239" spans="1:12" ht="15.6" x14ac:dyDescent="0.3">
      <c r="A239" s="145"/>
      <c r="B239" s="187"/>
      <c r="C239" s="148"/>
      <c r="D239" s="494">
        <f>SUM(D217:D238)</f>
        <v>69050</v>
      </c>
      <c r="E239" s="494">
        <f t="shared" ref="E239:J239" si="44">SUM(E217:E238)</f>
        <v>33180</v>
      </c>
      <c r="F239" s="494">
        <f t="shared" si="44"/>
        <v>6780</v>
      </c>
      <c r="G239" s="494">
        <f t="shared" si="44"/>
        <v>0</v>
      </c>
      <c r="H239" s="494">
        <f t="shared" si="44"/>
        <v>0</v>
      </c>
      <c r="I239" s="494">
        <f t="shared" si="44"/>
        <v>39960</v>
      </c>
      <c r="J239" s="494">
        <f t="shared" si="44"/>
        <v>29090</v>
      </c>
      <c r="K239" s="148"/>
    </row>
    <row r="240" spans="1:12" ht="15.6" x14ac:dyDescent="0.3">
      <c r="A240" s="141"/>
      <c r="B240" s="188"/>
      <c r="C240" s="143"/>
      <c r="D240" s="142"/>
      <c r="E240" s="142"/>
      <c r="F240" s="142"/>
      <c r="G240" s="142"/>
      <c r="H240" s="142"/>
      <c r="I240" s="142"/>
      <c r="J240" s="142"/>
      <c r="K240" s="143"/>
    </row>
    <row r="241" spans="1:11" ht="15.6" x14ac:dyDescent="0.3">
      <c r="A241" s="280"/>
      <c r="B241" s="280"/>
      <c r="C241" s="280"/>
      <c r="D241" s="279"/>
      <c r="E241" s="279"/>
      <c r="F241" s="279"/>
      <c r="G241" s="279"/>
      <c r="H241" s="279"/>
      <c r="I241" s="279"/>
      <c r="J241" s="279"/>
      <c r="K241" s="280"/>
    </row>
    <row r="242" spans="1:11" ht="16.2" thickBot="1" x14ac:dyDescent="0.35">
      <c r="A242" s="362" t="s">
        <v>1257</v>
      </c>
      <c r="B242" s="309"/>
      <c r="C242" s="363"/>
      <c r="D242" s="363"/>
      <c r="E242" s="363"/>
      <c r="F242" s="363"/>
      <c r="G242" s="363"/>
      <c r="H242" s="363"/>
      <c r="I242" s="363"/>
      <c r="J242" s="363"/>
      <c r="K242" s="420"/>
    </row>
    <row r="243" spans="1:11" ht="27.6" thickBot="1" x14ac:dyDescent="0.35">
      <c r="A243" s="354" t="s">
        <v>0</v>
      </c>
      <c r="B243" s="295" t="s">
        <v>1</v>
      </c>
      <c r="C243" s="354" t="s">
        <v>2</v>
      </c>
      <c r="D243" s="355" t="s">
        <v>854</v>
      </c>
      <c r="E243" s="573" t="s">
        <v>855</v>
      </c>
      <c r="F243" s="574"/>
      <c r="G243" s="574"/>
      <c r="H243" s="575"/>
      <c r="I243" s="416"/>
      <c r="J243" s="357" t="s">
        <v>856</v>
      </c>
      <c r="K243" s="351"/>
    </row>
    <row r="244" spans="1:11" ht="16.2" thickBot="1" x14ac:dyDescent="0.35">
      <c r="A244" s="315">
        <v>1</v>
      </c>
      <c r="B244" s="112" t="s">
        <v>291</v>
      </c>
      <c r="C244" s="292">
        <v>1776</v>
      </c>
      <c r="D244" s="281">
        <v>2744</v>
      </c>
      <c r="E244" s="281">
        <v>2750</v>
      </c>
      <c r="F244" s="281"/>
      <c r="G244" s="281"/>
      <c r="H244" s="281"/>
      <c r="I244" s="281">
        <f t="shared" ref="I244:I259" si="45">SUM(E244:H244)</f>
        <v>2750</v>
      </c>
      <c r="J244" s="281">
        <f t="shared" ref="J244:J259" si="46">D244-E244-F244-G244-H244</f>
        <v>-6</v>
      </c>
      <c r="K244" s="351" t="s">
        <v>1395</v>
      </c>
    </row>
    <row r="245" spans="1:11" ht="16.2" thickBot="1" x14ac:dyDescent="0.35">
      <c r="A245" s="315">
        <v>2</v>
      </c>
      <c r="B245" s="112" t="s">
        <v>277</v>
      </c>
      <c r="C245" s="267">
        <v>1816</v>
      </c>
      <c r="D245" s="281">
        <v>2744</v>
      </c>
      <c r="E245" s="281">
        <v>2744</v>
      </c>
      <c r="F245" s="281"/>
      <c r="G245" s="281"/>
      <c r="H245" s="281"/>
      <c r="I245" s="281">
        <f t="shared" si="45"/>
        <v>2744</v>
      </c>
      <c r="J245" s="281">
        <f t="shared" si="46"/>
        <v>0</v>
      </c>
      <c r="K245" s="351" t="s">
        <v>1395</v>
      </c>
    </row>
    <row r="246" spans="1:11" ht="16.2" thickBot="1" x14ac:dyDescent="0.35">
      <c r="A246" s="315">
        <v>3</v>
      </c>
      <c r="B246" s="112" t="s">
        <v>242</v>
      </c>
      <c r="C246" s="292">
        <v>1777</v>
      </c>
      <c r="D246" s="281">
        <v>2744</v>
      </c>
      <c r="E246" s="281">
        <v>1000</v>
      </c>
      <c r="F246" s="281">
        <v>1000</v>
      </c>
      <c r="G246" s="281"/>
      <c r="H246" s="281"/>
      <c r="I246" s="281">
        <f t="shared" si="45"/>
        <v>2000</v>
      </c>
      <c r="J246" s="281">
        <f t="shared" si="46"/>
        <v>744</v>
      </c>
      <c r="K246" s="351" t="s">
        <v>1395</v>
      </c>
    </row>
    <row r="247" spans="1:11" ht="16.2" thickBot="1" x14ac:dyDescent="0.35">
      <c r="A247" s="315">
        <v>4</v>
      </c>
      <c r="B247" s="133" t="s">
        <v>555</v>
      </c>
      <c r="C247" s="292">
        <v>3078</v>
      </c>
      <c r="D247" s="281">
        <v>2744</v>
      </c>
      <c r="E247" s="281">
        <v>691</v>
      </c>
      <c r="F247" s="281"/>
      <c r="G247" s="281"/>
      <c r="H247" s="281"/>
      <c r="I247" s="281">
        <f t="shared" si="45"/>
        <v>691</v>
      </c>
      <c r="J247" s="281">
        <f t="shared" si="46"/>
        <v>2053</v>
      </c>
      <c r="K247" s="351"/>
    </row>
    <row r="248" spans="1:11" ht="16.2" thickBot="1" x14ac:dyDescent="0.35">
      <c r="A248" s="315">
        <v>5</v>
      </c>
      <c r="B248" s="112" t="s">
        <v>657</v>
      </c>
      <c r="C248" s="292">
        <v>1879</v>
      </c>
      <c r="D248" s="281">
        <v>2744</v>
      </c>
      <c r="E248" s="281">
        <v>1500</v>
      </c>
      <c r="F248" s="281"/>
      <c r="G248" s="281"/>
      <c r="H248" s="281"/>
      <c r="I248" s="281">
        <f t="shared" si="45"/>
        <v>1500</v>
      </c>
      <c r="J248" s="281">
        <f t="shared" si="46"/>
        <v>1244</v>
      </c>
      <c r="K248" s="351" t="s">
        <v>1395</v>
      </c>
    </row>
    <row r="249" spans="1:11" ht="16.2" thickBot="1" x14ac:dyDescent="0.35">
      <c r="A249" s="315">
        <v>6</v>
      </c>
      <c r="B249" s="112" t="s">
        <v>240</v>
      </c>
      <c r="C249" s="292">
        <v>1819</v>
      </c>
      <c r="D249" s="281">
        <v>2744</v>
      </c>
      <c r="E249" s="281">
        <v>1045</v>
      </c>
      <c r="F249" s="537">
        <v>499</v>
      </c>
      <c r="G249" s="281"/>
      <c r="H249" s="281"/>
      <c r="I249" s="281">
        <f t="shared" si="45"/>
        <v>1544</v>
      </c>
      <c r="J249" s="281">
        <f t="shared" si="46"/>
        <v>1200</v>
      </c>
      <c r="K249" s="351" t="s">
        <v>1731</v>
      </c>
    </row>
    <row r="250" spans="1:11" ht="16.2" thickBot="1" x14ac:dyDescent="0.35">
      <c r="A250" s="315">
        <v>7</v>
      </c>
      <c r="B250" s="112" t="s">
        <v>982</v>
      </c>
      <c r="C250" s="292">
        <v>1778</v>
      </c>
      <c r="D250" s="281">
        <v>2744</v>
      </c>
      <c r="E250" s="281"/>
      <c r="F250" s="281"/>
      <c r="G250" s="281"/>
      <c r="H250" s="281"/>
      <c r="I250" s="281">
        <f t="shared" si="45"/>
        <v>0</v>
      </c>
      <c r="J250" s="281">
        <f t="shared" si="46"/>
        <v>2744</v>
      </c>
      <c r="K250" s="351"/>
    </row>
    <row r="251" spans="1:11" ht="16.2" thickBot="1" x14ac:dyDescent="0.35">
      <c r="A251" s="315">
        <v>8</v>
      </c>
      <c r="B251" s="112" t="s">
        <v>241</v>
      </c>
      <c r="C251" s="292">
        <v>1779</v>
      </c>
      <c r="D251" s="281">
        <v>2744</v>
      </c>
      <c r="E251" s="281"/>
      <c r="F251" s="281"/>
      <c r="G251" s="281"/>
      <c r="H251" s="281"/>
      <c r="I251" s="281">
        <f t="shared" si="45"/>
        <v>0</v>
      </c>
      <c r="J251" s="281">
        <f t="shared" si="46"/>
        <v>2744</v>
      </c>
      <c r="K251" s="351"/>
    </row>
    <row r="252" spans="1:11" ht="16.2" thickBot="1" x14ac:dyDescent="0.35">
      <c r="A252" s="315">
        <v>9</v>
      </c>
      <c r="B252" s="134" t="s">
        <v>40</v>
      </c>
      <c r="C252" s="267">
        <v>845</v>
      </c>
      <c r="D252" s="281">
        <v>2744</v>
      </c>
      <c r="E252" s="281"/>
      <c r="F252" s="281"/>
      <c r="G252" s="281"/>
      <c r="H252" s="281"/>
      <c r="I252" s="281">
        <f t="shared" si="45"/>
        <v>0</v>
      </c>
      <c r="J252" s="281">
        <f t="shared" si="46"/>
        <v>2744</v>
      </c>
      <c r="K252" s="351"/>
    </row>
    <row r="253" spans="1:11" ht="16.2" thickBot="1" x14ac:dyDescent="0.35">
      <c r="A253" s="315">
        <v>10</v>
      </c>
      <c r="B253" s="134" t="s">
        <v>1675</v>
      </c>
      <c r="C253" s="11">
        <v>3751</v>
      </c>
      <c r="D253" s="281">
        <v>2744</v>
      </c>
      <c r="E253" s="281">
        <v>1291</v>
      </c>
      <c r="F253" s="281">
        <v>1453</v>
      </c>
      <c r="G253" s="281"/>
      <c r="H253" s="281"/>
      <c r="I253" s="281">
        <f t="shared" si="45"/>
        <v>2744</v>
      </c>
      <c r="J253" s="281">
        <f t="shared" si="46"/>
        <v>0</v>
      </c>
      <c r="K253" s="351" t="s">
        <v>1723</v>
      </c>
    </row>
    <row r="254" spans="1:11" ht="16.2" thickBot="1" x14ac:dyDescent="0.35">
      <c r="A254" s="315">
        <v>11</v>
      </c>
      <c r="B254" s="112" t="s">
        <v>1179</v>
      </c>
      <c r="C254" s="292">
        <v>1780</v>
      </c>
      <c r="D254" s="281">
        <v>2744</v>
      </c>
      <c r="E254" s="281">
        <v>1744</v>
      </c>
      <c r="F254" s="281">
        <v>1000</v>
      </c>
      <c r="G254" s="281"/>
      <c r="H254" s="281"/>
      <c r="I254" s="281">
        <f t="shared" si="45"/>
        <v>2744</v>
      </c>
      <c r="J254" s="281">
        <f t="shared" si="46"/>
        <v>0</v>
      </c>
      <c r="K254" s="351" t="s">
        <v>1395</v>
      </c>
    </row>
    <row r="255" spans="1:11" ht="16.2" thickBot="1" x14ac:dyDescent="0.35">
      <c r="A255" s="315">
        <v>12</v>
      </c>
      <c r="B255" s="134" t="s">
        <v>86</v>
      </c>
      <c r="C255" s="267">
        <v>1782</v>
      </c>
      <c r="D255" s="281">
        <v>2744</v>
      </c>
      <c r="E255" s="281">
        <v>500</v>
      </c>
      <c r="F255" s="281">
        <v>872</v>
      </c>
      <c r="G255" s="281"/>
      <c r="H255" s="281"/>
      <c r="I255" s="281">
        <f t="shared" si="45"/>
        <v>1372</v>
      </c>
      <c r="J255" s="281">
        <f t="shared" si="46"/>
        <v>1372</v>
      </c>
      <c r="K255" s="271" t="s">
        <v>1395</v>
      </c>
    </row>
    <row r="256" spans="1:11" ht="16.2" thickBot="1" x14ac:dyDescent="0.35">
      <c r="A256" s="315">
        <v>13</v>
      </c>
      <c r="B256" s="317" t="s">
        <v>1180</v>
      </c>
      <c r="C256" s="315">
        <v>1783</v>
      </c>
      <c r="D256" s="281">
        <v>2744</v>
      </c>
      <c r="E256" s="281"/>
      <c r="F256" s="281"/>
      <c r="G256" s="281"/>
      <c r="H256" s="281"/>
      <c r="I256" s="281">
        <f t="shared" si="45"/>
        <v>0</v>
      </c>
      <c r="J256" s="281">
        <f t="shared" si="46"/>
        <v>2744</v>
      </c>
      <c r="K256" s="351"/>
    </row>
    <row r="257" spans="1:11" ht="16.2" thickBot="1" x14ac:dyDescent="0.35">
      <c r="A257" s="315">
        <v>14</v>
      </c>
      <c r="B257" s="112" t="s">
        <v>527</v>
      </c>
      <c r="C257" s="292">
        <v>1540</v>
      </c>
      <c r="D257" s="281">
        <v>2744</v>
      </c>
      <c r="E257" s="281">
        <v>1000</v>
      </c>
      <c r="F257" s="281"/>
      <c r="G257" s="281"/>
      <c r="H257" s="281"/>
      <c r="I257" s="281">
        <f t="shared" si="45"/>
        <v>1000</v>
      </c>
      <c r="J257" s="281">
        <f t="shared" si="46"/>
        <v>1744</v>
      </c>
      <c r="K257" s="351"/>
    </row>
    <row r="258" spans="1:11" ht="16.2" thickBot="1" x14ac:dyDescent="0.35">
      <c r="A258" s="315">
        <v>15</v>
      </c>
      <c r="B258" s="135" t="s">
        <v>239</v>
      </c>
      <c r="C258" s="316">
        <v>1784</v>
      </c>
      <c r="D258" s="284">
        <v>2744</v>
      </c>
      <c r="E258" s="284"/>
      <c r="F258" s="284"/>
      <c r="G258" s="284"/>
      <c r="H258" s="284"/>
      <c r="I258" s="284">
        <f t="shared" si="45"/>
        <v>0</v>
      </c>
      <c r="J258" s="284">
        <f t="shared" si="46"/>
        <v>2744</v>
      </c>
      <c r="K258" s="352"/>
    </row>
    <row r="259" spans="1:11" ht="16.2" thickBot="1" x14ac:dyDescent="0.35">
      <c r="A259" s="376">
        <v>16</v>
      </c>
      <c r="B259" s="289" t="s">
        <v>684</v>
      </c>
      <c r="C259" s="276">
        <v>1786</v>
      </c>
      <c r="D259" s="271">
        <v>2744</v>
      </c>
      <c r="E259" s="271"/>
      <c r="F259" s="271"/>
      <c r="G259" s="271"/>
      <c r="H259" s="271"/>
      <c r="I259" s="271">
        <f t="shared" si="45"/>
        <v>0</v>
      </c>
      <c r="J259" s="271">
        <f t="shared" si="46"/>
        <v>2744</v>
      </c>
      <c r="K259" s="377"/>
    </row>
    <row r="260" spans="1:11" ht="16.2" thickBot="1" x14ac:dyDescent="0.35">
      <c r="A260" s="376">
        <v>17</v>
      </c>
      <c r="B260" s="289" t="s">
        <v>1735</v>
      </c>
      <c r="C260" s="276"/>
      <c r="D260" s="271"/>
      <c r="E260" s="271">
        <v>1000</v>
      </c>
      <c r="F260" s="271"/>
      <c r="G260" s="271"/>
      <c r="H260" s="271"/>
      <c r="I260" s="271"/>
      <c r="J260" s="271"/>
      <c r="K260" s="377" t="s">
        <v>1734</v>
      </c>
    </row>
    <row r="261" spans="1:11" ht="15.6" x14ac:dyDescent="0.3">
      <c r="A261" s="373"/>
      <c r="B261" s="285"/>
      <c r="C261" s="365"/>
      <c r="D261" s="494">
        <f>SUM(D244:D259)</f>
        <v>43904</v>
      </c>
      <c r="E261" s="494">
        <f t="shared" ref="E261:J261" si="47">SUM(E244:E259)</f>
        <v>14265</v>
      </c>
      <c r="F261" s="494">
        <f t="shared" si="47"/>
        <v>4824</v>
      </c>
      <c r="G261" s="494">
        <f t="shared" si="47"/>
        <v>0</v>
      </c>
      <c r="H261" s="494">
        <f t="shared" si="47"/>
        <v>0</v>
      </c>
      <c r="I261" s="494">
        <f t="shared" si="47"/>
        <v>19089</v>
      </c>
      <c r="J261" s="494">
        <f t="shared" si="47"/>
        <v>24815</v>
      </c>
      <c r="K261" s="148"/>
    </row>
    <row r="262" spans="1:11" ht="15.6" x14ac:dyDescent="0.3">
      <c r="A262" s="277"/>
      <c r="B262" s="286"/>
      <c r="C262" s="360"/>
      <c r="D262" s="142"/>
      <c r="E262" s="142"/>
      <c r="F262" s="142"/>
      <c r="G262" s="142"/>
      <c r="H262" s="142"/>
      <c r="I262" s="142"/>
      <c r="J262" s="142"/>
      <c r="K262" s="143"/>
    </row>
    <row r="263" spans="1:11" ht="15.6" x14ac:dyDescent="0.3">
      <c r="A263" s="280"/>
      <c r="B263" s="303"/>
      <c r="C263" s="361"/>
      <c r="D263" s="279"/>
      <c r="E263" s="279"/>
      <c r="F263" s="279"/>
      <c r="G263" s="279"/>
      <c r="H263" s="279"/>
      <c r="I263" s="279"/>
      <c r="J263" s="279"/>
      <c r="K263" s="280"/>
    </row>
    <row r="264" spans="1:11" ht="16.2" thickBot="1" x14ac:dyDescent="0.35">
      <c r="A264" s="362" t="s">
        <v>1258</v>
      </c>
      <c r="B264" s="309"/>
      <c r="C264" s="363"/>
      <c r="D264" s="363"/>
      <c r="E264" s="363"/>
      <c r="F264" s="363"/>
      <c r="G264" s="363"/>
      <c r="H264" s="363"/>
      <c r="I264" s="363"/>
      <c r="J264" s="363"/>
      <c r="K264" s="420"/>
    </row>
    <row r="265" spans="1:11" ht="27.6" thickBot="1" x14ac:dyDescent="0.35">
      <c r="A265" s="354" t="s">
        <v>0</v>
      </c>
      <c r="B265" s="295" t="s">
        <v>1</v>
      </c>
      <c r="C265" s="354" t="s">
        <v>2</v>
      </c>
      <c r="D265" s="355" t="s">
        <v>854</v>
      </c>
      <c r="E265" s="573" t="s">
        <v>855</v>
      </c>
      <c r="F265" s="574"/>
      <c r="G265" s="574"/>
      <c r="H265" s="575"/>
      <c r="I265" s="416"/>
      <c r="J265" s="357" t="s">
        <v>856</v>
      </c>
      <c r="K265" s="351"/>
    </row>
    <row r="266" spans="1:11" ht="16.2" thickBot="1" x14ac:dyDescent="0.35">
      <c r="A266" s="354">
        <v>1</v>
      </c>
      <c r="B266" s="295" t="s">
        <v>1562</v>
      </c>
      <c r="C266" s="354"/>
      <c r="D266" s="281">
        <v>6672</v>
      </c>
      <c r="E266" s="453">
        <v>2040</v>
      </c>
      <c r="F266" s="454">
        <v>3538</v>
      </c>
      <c r="G266" s="454"/>
      <c r="H266" s="455"/>
      <c r="I266" s="281">
        <f>SUM(E266:H266)</f>
        <v>5578</v>
      </c>
      <c r="J266" s="281">
        <f>D266-E266-F266-G266-H266</f>
        <v>1094</v>
      </c>
      <c r="K266" s="351"/>
    </row>
    <row r="267" spans="1:11" ht="16.2" thickBot="1" x14ac:dyDescent="0.35">
      <c r="A267" s="292">
        <v>2</v>
      </c>
      <c r="B267" s="112" t="s">
        <v>1339</v>
      </c>
      <c r="C267" s="292"/>
      <c r="D267" s="281">
        <v>6672</v>
      </c>
      <c r="E267" s="281">
        <v>2040</v>
      </c>
      <c r="F267" s="281">
        <v>1950</v>
      </c>
      <c r="G267" s="281"/>
      <c r="H267" s="281"/>
      <c r="I267" s="281">
        <f>SUM(E267:H267)</f>
        <v>3990</v>
      </c>
      <c r="J267" s="281">
        <f>D267-E267-F267-G267-H267</f>
        <v>2682</v>
      </c>
      <c r="K267" s="351" t="s">
        <v>1395</v>
      </c>
    </row>
    <row r="268" spans="1:11" ht="16.2" thickBot="1" x14ac:dyDescent="0.35">
      <c r="A268" s="354">
        <v>3</v>
      </c>
      <c r="B268" s="134" t="s">
        <v>1359</v>
      </c>
      <c r="C268" s="315"/>
      <c r="D268" s="281">
        <v>6672</v>
      </c>
      <c r="E268" s="281">
        <v>2040</v>
      </c>
      <c r="F268" s="281">
        <v>2000</v>
      </c>
      <c r="G268" s="281">
        <v>2000</v>
      </c>
      <c r="H268" s="281"/>
      <c r="I268" s="281">
        <f t="shared" ref="I268:I276" si="48">SUM(E268:H268)</f>
        <v>6040</v>
      </c>
      <c r="J268" s="281">
        <f t="shared" ref="J268:J276" si="49">D268-E268-F268-G268-H268</f>
        <v>632</v>
      </c>
      <c r="K268" s="351" t="s">
        <v>1395</v>
      </c>
    </row>
    <row r="269" spans="1:11" ht="16.2" thickBot="1" x14ac:dyDescent="0.35">
      <c r="A269" s="292">
        <v>4</v>
      </c>
      <c r="B269" s="134" t="s">
        <v>1380</v>
      </c>
      <c r="C269" s="315"/>
      <c r="D269" s="281">
        <v>6672</v>
      </c>
      <c r="E269" s="281">
        <v>2040</v>
      </c>
      <c r="F269" s="281">
        <v>3000</v>
      </c>
      <c r="G269" s="281"/>
      <c r="H269" s="281"/>
      <c r="I269" s="281">
        <f t="shared" si="48"/>
        <v>5040</v>
      </c>
      <c r="J269" s="281">
        <f t="shared" si="49"/>
        <v>1632</v>
      </c>
      <c r="K269" s="351" t="s">
        <v>1395</v>
      </c>
    </row>
    <row r="270" spans="1:11" ht="16.2" thickBot="1" x14ac:dyDescent="0.35">
      <c r="A270" s="354">
        <v>5</v>
      </c>
      <c r="B270" s="112" t="s">
        <v>1391</v>
      </c>
      <c r="C270" s="292">
        <v>3684</v>
      </c>
      <c r="D270" s="281">
        <v>6672</v>
      </c>
      <c r="E270" s="281">
        <v>2040</v>
      </c>
      <c r="F270" s="281">
        <v>1500</v>
      </c>
      <c r="G270" s="281">
        <v>2500</v>
      </c>
      <c r="H270" s="281">
        <v>632</v>
      </c>
      <c r="I270" s="281">
        <f t="shared" si="48"/>
        <v>6672</v>
      </c>
      <c r="J270" s="281">
        <f t="shared" si="49"/>
        <v>0</v>
      </c>
      <c r="K270" s="351" t="s">
        <v>1395</v>
      </c>
    </row>
    <row r="271" spans="1:11" ht="16.2" thickBot="1" x14ac:dyDescent="0.35">
      <c r="A271" s="292">
        <v>6</v>
      </c>
      <c r="B271" s="135" t="s">
        <v>1419</v>
      </c>
      <c r="C271" s="316"/>
      <c r="D271" s="281">
        <v>6672</v>
      </c>
      <c r="E271" s="284">
        <v>2040</v>
      </c>
      <c r="F271" s="284">
        <v>1800</v>
      </c>
      <c r="G271" s="284"/>
      <c r="H271" s="284"/>
      <c r="I271" s="284">
        <f t="shared" si="48"/>
        <v>3840</v>
      </c>
      <c r="J271" s="284">
        <f t="shared" si="49"/>
        <v>2832</v>
      </c>
      <c r="K271" s="352" t="s">
        <v>1395</v>
      </c>
    </row>
    <row r="272" spans="1:11" ht="16.2" thickBot="1" x14ac:dyDescent="0.35">
      <c r="A272" s="354">
        <v>7</v>
      </c>
      <c r="B272" s="135" t="s">
        <v>1420</v>
      </c>
      <c r="C272" s="316"/>
      <c r="D272" s="281">
        <v>6672</v>
      </c>
      <c r="E272" s="284">
        <v>2040</v>
      </c>
      <c r="F272" s="284">
        <v>2000</v>
      </c>
      <c r="G272" s="284"/>
      <c r="H272" s="284"/>
      <c r="I272" s="284">
        <f t="shared" si="48"/>
        <v>4040</v>
      </c>
      <c r="J272" s="284">
        <f t="shared" si="49"/>
        <v>2632</v>
      </c>
      <c r="K272" s="352" t="s">
        <v>1395</v>
      </c>
    </row>
    <row r="273" spans="1:12" ht="16.2" thickBot="1" x14ac:dyDescent="0.35">
      <c r="A273" s="292">
        <v>8</v>
      </c>
      <c r="B273" s="135" t="s">
        <v>1466</v>
      </c>
      <c r="C273" s="316"/>
      <c r="D273" s="284">
        <v>6672</v>
      </c>
      <c r="E273" s="284">
        <v>600</v>
      </c>
      <c r="F273" s="284">
        <v>2032</v>
      </c>
      <c r="G273" s="284"/>
      <c r="H273" s="284"/>
      <c r="I273" s="284">
        <f t="shared" si="48"/>
        <v>2632</v>
      </c>
      <c r="J273" s="284">
        <f t="shared" si="49"/>
        <v>4040</v>
      </c>
      <c r="K273" s="352" t="s">
        <v>1395</v>
      </c>
    </row>
    <row r="274" spans="1:12" ht="16.2" thickBot="1" x14ac:dyDescent="0.35">
      <c r="A274" s="354">
        <v>9</v>
      </c>
      <c r="B274" s="275" t="s">
        <v>1468</v>
      </c>
      <c r="C274" s="273"/>
      <c r="D274" s="271">
        <v>6672</v>
      </c>
      <c r="E274" s="271">
        <v>2040</v>
      </c>
      <c r="F274" s="271">
        <v>900</v>
      </c>
      <c r="G274" s="271">
        <v>1500</v>
      </c>
      <c r="H274" s="271"/>
      <c r="I274" s="271">
        <f t="shared" si="48"/>
        <v>4440</v>
      </c>
      <c r="J274" s="271">
        <f t="shared" si="49"/>
        <v>2232</v>
      </c>
      <c r="K274" s="377" t="s">
        <v>1395</v>
      </c>
    </row>
    <row r="275" spans="1:12" ht="16.2" thickBot="1" x14ac:dyDescent="0.35">
      <c r="A275" s="292">
        <v>10</v>
      </c>
      <c r="B275" s="409" t="s">
        <v>1509</v>
      </c>
      <c r="C275" s="415"/>
      <c r="D275" s="379">
        <v>6672</v>
      </c>
      <c r="E275" s="379">
        <v>2040</v>
      </c>
      <c r="F275" s="379"/>
      <c r="G275" s="379"/>
      <c r="H275" s="379"/>
      <c r="I275" s="379">
        <f t="shared" si="48"/>
        <v>2040</v>
      </c>
      <c r="J275" s="379">
        <f t="shared" si="49"/>
        <v>4632</v>
      </c>
      <c r="K275" s="377"/>
    </row>
    <row r="276" spans="1:12" ht="16.2" thickBot="1" x14ac:dyDescent="0.35">
      <c r="A276" s="354">
        <v>11</v>
      </c>
      <c r="B276" s="275" t="s">
        <v>1670</v>
      </c>
      <c r="C276" s="273"/>
      <c r="D276" s="271">
        <v>6672</v>
      </c>
      <c r="E276" s="271">
        <v>2040</v>
      </c>
      <c r="F276" s="271">
        <v>2960</v>
      </c>
      <c r="G276" s="271"/>
      <c r="H276" s="271"/>
      <c r="I276" s="271">
        <f t="shared" si="48"/>
        <v>5000</v>
      </c>
      <c r="J276" s="271">
        <f t="shared" si="49"/>
        <v>1672</v>
      </c>
      <c r="K276" s="143"/>
    </row>
    <row r="277" spans="1:12" ht="15.6" x14ac:dyDescent="0.3">
      <c r="A277" s="141"/>
      <c r="B277" s="300"/>
      <c r="C277" s="141"/>
      <c r="D277" s="495">
        <f>SUM(D266:D276)</f>
        <v>73392</v>
      </c>
      <c r="E277" s="495">
        <f t="shared" ref="E277:J277" si="50">SUM(E266:E276)</f>
        <v>21000</v>
      </c>
      <c r="F277" s="495">
        <f t="shared" si="50"/>
        <v>21680</v>
      </c>
      <c r="G277" s="495">
        <f t="shared" si="50"/>
        <v>6000</v>
      </c>
      <c r="H277" s="495">
        <f t="shared" si="50"/>
        <v>632</v>
      </c>
      <c r="I277" s="495">
        <f t="shared" si="50"/>
        <v>49312</v>
      </c>
      <c r="J277" s="495">
        <f t="shared" si="50"/>
        <v>24080</v>
      </c>
      <c r="K277" s="143"/>
    </row>
    <row r="278" spans="1:12" ht="15.6" x14ac:dyDescent="0.3">
      <c r="A278" s="280"/>
      <c r="B278" s="280"/>
      <c r="C278" s="280"/>
      <c r="D278" s="279"/>
      <c r="E278" s="279"/>
      <c r="F278" s="279"/>
      <c r="G278" s="279"/>
      <c r="H278" s="279"/>
      <c r="I278" s="279"/>
      <c r="J278" s="279"/>
      <c r="K278" s="280"/>
    </row>
    <row r="279" spans="1:12" ht="16.2" thickBot="1" x14ac:dyDescent="0.35">
      <c r="A279" s="362" t="s">
        <v>1259</v>
      </c>
      <c r="B279" s="309"/>
      <c r="C279" s="363"/>
      <c r="D279" s="363"/>
      <c r="E279" s="363"/>
      <c r="F279" s="363"/>
      <c r="G279" s="363"/>
      <c r="H279" s="363"/>
      <c r="I279" s="363"/>
      <c r="J279" s="363"/>
      <c r="K279" s="420"/>
    </row>
    <row r="280" spans="1:12" ht="27.6" thickBot="1" x14ac:dyDescent="0.35">
      <c r="A280" s="354" t="s">
        <v>0</v>
      </c>
      <c r="B280" s="295" t="s">
        <v>1</v>
      </c>
      <c r="C280" s="354" t="s">
        <v>2</v>
      </c>
      <c r="D280" s="355" t="s">
        <v>854</v>
      </c>
      <c r="E280" s="573" t="s">
        <v>855</v>
      </c>
      <c r="F280" s="574"/>
      <c r="G280" s="574"/>
      <c r="H280" s="575"/>
      <c r="I280" s="416"/>
      <c r="J280" s="357" t="s">
        <v>856</v>
      </c>
      <c r="K280" s="351"/>
    </row>
    <row r="281" spans="1:12" ht="16.2" thickBot="1" x14ac:dyDescent="0.35">
      <c r="A281" s="315">
        <v>1</v>
      </c>
      <c r="B281" s="131" t="s">
        <v>596</v>
      </c>
      <c r="C281" s="315">
        <v>3133</v>
      </c>
      <c r="D281" s="281">
        <v>3538</v>
      </c>
      <c r="E281" s="281"/>
      <c r="F281" s="281"/>
      <c r="G281" s="281"/>
      <c r="H281" s="281"/>
      <c r="I281" s="281">
        <f>SUM(E281:H281)</f>
        <v>0</v>
      </c>
      <c r="J281" s="281">
        <f t="shared" ref="J281:J322" si="51">D281-E281-F281-G281-H281</f>
        <v>3538</v>
      </c>
      <c r="K281" s="351"/>
      <c r="L281" s="294" t="s">
        <v>1725</v>
      </c>
    </row>
    <row r="282" spans="1:12" ht="16.2" thickBot="1" x14ac:dyDescent="0.35">
      <c r="A282" s="315">
        <v>2</v>
      </c>
      <c r="B282" s="131" t="s">
        <v>595</v>
      </c>
      <c r="C282" s="315">
        <v>3134</v>
      </c>
      <c r="D282" s="281">
        <v>3538</v>
      </c>
      <c r="E282" s="281"/>
      <c r="F282" s="281"/>
      <c r="G282" s="281"/>
      <c r="H282" s="281"/>
      <c r="I282" s="281">
        <f t="shared" ref="I282:I322" si="52">SUM(E282:H282)</f>
        <v>0</v>
      </c>
      <c r="J282" s="281">
        <f t="shared" si="51"/>
        <v>3538</v>
      </c>
      <c r="K282" s="351"/>
    </row>
    <row r="283" spans="1:12" ht="16.2" thickBot="1" x14ac:dyDescent="0.35">
      <c r="A283" s="315">
        <v>3</v>
      </c>
      <c r="B283" s="131" t="s">
        <v>575</v>
      </c>
      <c r="C283" s="315"/>
      <c r="D283" s="281">
        <v>3538</v>
      </c>
      <c r="E283" s="281">
        <v>2000</v>
      </c>
      <c r="F283" s="281"/>
      <c r="G283" s="281"/>
      <c r="H283" s="281"/>
      <c r="I283" s="281">
        <f t="shared" si="52"/>
        <v>2000</v>
      </c>
      <c r="J283" s="281">
        <f t="shared" si="51"/>
        <v>1538</v>
      </c>
      <c r="K283" s="351" t="s">
        <v>1395</v>
      </c>
    </row>
    <row r="284" spans="1:12" ht="16.2" thickBot="1" x14ac:dyDescent="0.35">
      <c r="A284" s="315">
        <v>4</v>
      </c>
      <c r="B284" s="131" t="s">
        <v>252</v>
      </c>
      <c r="C284" s="315"/>
      <c r="D284" s="281">
        <v>3538</v>
      </c>
      <c r="E284" s="281"/>
      <c r="F284" s="281"/>
      <c r="G284" s="281"/>
      <c r="H284" s="281"/>
      <c r="I284" s="281">
        <f t="shared" si="52"/>
        <v>0</v>
      </c>
      <c r="J284" s="281">
        <f t="shared" si="51"/>
        <v>3538</v>
      </c>
      <c r="K284" s="351"/>
    </row>
    <row r="285" spans="1:12" ht="16.2" thickBot="1" x14ac:dyDescent="0.35">
      <c r="A285" s="315">
        <v>5</v>
      </c>
      <c r="B285" s="131" t="s">
        <v>586</v>
      </c>
      <c r="C285" s="315">
        <v>2576</v>
      </c>
      <c r="D285" s="281">
        <v>3538</v>
      </c>
      <c r="E285" s="281"/>
      <c r="F285" s="281"/>
      <c r="G285" s="281"/>
      <c r="H285" s="281"/>
      <c r="I285" s="281">
        <f t="shared" si="52"/>
        <v>0</v>
      </c>
      <c r="J285" s="281">
        <f t="shared" si="51"/>
        <v>3538</v>
      </c>
      <c r="K285" s="351"/>
    </row>
    <row r="286" spans="1:12" ht="16.2" thickBot="1" x14ac:dyDescent="0.35">
      <c r="A286" s="315">
        <v>6</v>
      </c>
      <c r="B286" s="131" t="s">
        <v>604</v>
      </c>
      <c r="C286" s="315">
        <v>3136</v>
      </c>
      <c r="D286" s="281">
        <v>3538</v>
      </c>
      <c r="E286" s="281">
        <v>2000</v>
      </c>
      <c r="F286" s="281">
        <v>1000</v>
      </c>
      <c r="G286" s="281"/>
      <c r="H286" s="281"/>
      <c r="I286" s="281">
        <f t="shared" si="52"/>
        <v>3000</v>
      </c>
      <c r="J286" s="281">
        <f t="shared" si="51"/>
        <v>538</v>
      </c>
      <c r="K286" s="351"/>
    </row>
    <row r="287" spans="1:12" ht="16.2" thickBot="1" x14ac:dyDescent="0.35">
      <c r="A287" s="315">
        <v>7</v>
      </c>
      <c r="B287" s="131" t="s">
        <v>597</v>
      </c>
      <c r="C287" s="315">
        <v>3172</v>
      </c>
      <c r="D287" s="281">
        <v>3538</v>
      </c>
      <c r="E287" s="281"/>
      <c r="F287" s="281"/>
      <c r="G287" s="281"/>
      <c r="H287" s="281"/>
      <c r="I287" s="281">
        <f t="shared" si="52"/>
        <v>0</v>
      </c>
      <c r="J287" s="281">
        <f t="shared" si="51"/>
        <v>3538</v>
      </c>
      <c r="K287" s="351"/>
      <c r="L287" s="294" t="s">
        <v>1725</v>
      </c>
    </row>
    <row r="288" spans="1:12" ht="16.2" thickBot="1" x14ac:dyDescent="0.35">
      <c r="A288" s="315">
        <v>8</v>
      </c>
      <c r="B288" s="134" t="s">
        <v>592</v>
      </c>
      <c r="C288" s="267">
        <v>3137</v>
      </c>
      <c r="D288" s="281">
        <v>3538</v>
      </c>
      <c r="E288" s="281">
        <v>500</v>
      </c>
      <c r="F288" s="281">
        <v>600</v>
      </c>
      <c r="G288" s="281"/>
      <c r="H288" s="281"/>
      <c r="I288" s="281">
        <f t="shared" si="52"/>
        <v>1100</v>
      </c>
      <c r="J288" s="281">
        <f t="shared" si="51"/>
        <v>2438</v>
      </c>
      <c r="K288" s="351"/>
    </row>
    <row r="289" spans="1:11" ht="16.2" thickBot="1" x14ac:dyDescent="0.35">
      <c r="A289" s="315">
        <v>9</v>
      </c>
      <c r="B289" s="134" t="s">
        <v>588</v>
      </c>
      <c r="C289" s="267">
        <v>3138</v>
      </c>
      <c r="D289" s="281">
        <v>3538</v>
      </c>
      <c r="E289" s="281"/>
      <c r="F289" s="281"/>
      <c r="G289" s="281"/>
      <c r="H289" s="281"/>
      <c r="I289" s="281">
        <f t="shared" si="52"/>
        <v>0</v>
      </c>
      <c r="J289" s="281">
        <f t="shared" si="51"/>
        <v>3538</v>
      </c>
      <c r="K289" s="351"/>
    </row>
    <row r="290" spans="1:11" ht="16.2" thickBot="1" x14ac:dyDescent="0.35">
      <c r="A290" s="315">
        <v>10</v>
      </c>
      <c r="B290" s="134" t="s">
        <v>1649</v>
      </c>
      <c r="C290" s="267">
        <v>3742</v>
      </c>
      <c r="D290" s="281">
        <v>5578</v>
      </c>
      <c r="E290" s="281">
        <v>2500</v>
      </c>
      <c r="F290" s="281"/>
      <c r="G290" s="281"/>
      <c r="H290" s="281"/>
      <c r="I290" s="281"/>
      <c r="J290" s="281">
        <f t="shared" si="51"/>
        <v>3078</v>
      </c>
      <c r="K290" s="351" t="s">
        <v>1663</v>
      </c>
    </row>
    <row r="291" spans="1:11" ht="16.2" thickBot="1" x14ac:dyDescent="0.35">
      <c r="A291" s="315">
        <v>11</v>
      </c>
      <c r="B291" s="131" t="s">
        <v>584</v>
      </c>
      <c r="C291" s="315">
        <v>3139</v>
      </c>
      <c r="D291" s="281">
        <v>3538</v>
      </c>
      <c r="E291" s="281"/>
      <c r="F291" s="281"/>
      <c r="G291" s="281"/>
      <c r="H291" s="281"/>
      <c r="I291" s="281">
        <f t="shared" si="52"/>
        <v>0</v>
      </c>
      <c r="J291" s="281">
        <f t="shared" si="51"/>
        <v>3538</v>
      </c>
      <c r="K291" s="351"/>
    </row>
    <row r="292" spans="1:11" ht="16.2" thickBot="1" x14ac:dyDescent="0.35">
      <c r="A292" s="315">
        <v>12</v>
      </c>
      <c r="B292" s="131" t="s">
        <v>582</v>
      </c>
      <c r="C292" s="315">
        <v>3140</v>
      </c>
      <c r="D292" s="281">
        <v>3538</v>
      </c>
      <c r="E292" s="281">
        <v>2500</v>
      </c>
      <c r="F292" s="281"/>
      <c r="G292" s="281"/>
      <c r="H292" s="281"/>
      <c r="I292" s="281">
        <f t="shared" si="52"/>
        <v>2500</v>
      </c>
      <c r="J292" s="281">
        <f t="shared" si="51"/>
        <v>1038</v>
      </c>
      <c r="K292" s="351"/>
    </row>
    <row r="293" spans="1:11" ht="16.2" thickBot="1" x14ac:dyDescent="0.35">
      <c r="A293" s="315">
        <v>13</v>
      </c>
      <c r="B293" s="131" t="s">
        <v>589</v>
      </c>
      <c r="C293" s="315">
        <v>3141</v>
      </c>
      <c r="D293" s="281">
        <v>3538</v>
      </c>
      <c r="E293" s="281">
        <v>3538</v>
      </c>
      <c r="F293" s="281"/>
      <c r="G293" s="281"/>
      <c r="H293" s="281"/>
      <c r="I293" s="281">
        <f t="shared" si="52"/>
        <v>3538</v>
      </c>
      <c r="J293" s="281">
        <f t="shared" si="51"/>
        <v>0</v>
      </c>
      <c r="K293" s="351" t="s">
        <v>1395</v>
      </c>
    </row>
    <row r="294" spans="1:11" ht="16.2" thickBot="1" x14ac:dyDescent="0.35">
      <c r="A294" s="315">
        <v>14</v>
      </c>
      <c r="B294" s="131" t="s">
        <v>583</v>
      </c>
      <c r="C294" s="315">
        <v>3942</v>
      </c>
      <c r="D294" s="281">
        <v>3538</v>
      </c>
      <c r="E294" s="281"/>
      <c r="F294" s="281"/>
      <c r="G294" s="281"/>
      <c r="H294" s="281"/>
      <c r="I294" s="281">
        <f t="shared" si="52"/>
        <v>0</v>
      </c>
      <c r="J294" s="281">
        <f t="shared" si="51"/>
        <v>3538</v>
      </c>
      <c r="K294" s="351"/>
    </row>
    <row r="295" spans="1:11" ht="16.2" thickBot="1" x14ac:dyDescent="0.35">
      <c r="A295" s="315">
        <v>15</v>
      </c>
      <c r="B295" s="131" t="s">
        <v>598</v>
      </c>
      <c r="C295" s="315">
        <v>3143</v>
      </c>
      <c r="D295" s="281">
        <v>3538</v>
      </c>
      <c r="E295" s="281">
        <v>1000</v>
      </c>
      <c r="F295" s="281">
        <v>2500</v>
      </c>
      <c r="G295" s="281"/>
      <c r="H295" s="281"/>
      <c r="I295" s="281">
        <f t="shared" si="52"/>
        <v>3500</v>
      </c>
      <c r="J295" s="281">
        <f t="shared" si="51"/>
        <v>38</v>
      </c>
      <c r="K295" s="351" t="s">
        <v>1395</v>
      </c>
    </row>
    <row r="296" spans="1:11" ht="16.2" thickBot="1" x14ac:dyDescent="0.35">
      <c r="A296" s="315">
        <v>16</v>
      </c>
      <c r="B296" s="131" t="s">
        <v>1596</v>
      </c>
      <c r="C296" s="315">
        <v>3686</v>
      </c>
      <c r="D296" s="281">
        <v>3538</v>
      </c>
      <c r="E296" s="281">
        <v>2538</v>
      </c>
      <c r="F296" s="281"/>
      <c r="G296" s="281"/>
      <c r="H296" s="281"/>
      <c r="I296" s="281">
        <f t="shared" ref="I296" si="53">SUM(E296:H296)</f>
        <v>2538</v>
      </c>
      <c r="J296" s="281">
        <f t="shared" ref="J296" si="54">D296-E296-F296-G296-H296</f>
        <v>1000</v>
      </c>
      <c r="K296" s="351" t="s">
        <v>1612</v>
      </c>
    </row>
    <row r="297" spans="1:11" ht="16.2" thickBot="1" x14ac:dyDescent="0.35">
      <c r="A297" s="315">
        <v>17</v>
      </c>
      <c r="B297" s="131" t="s">
        <v>593</v>
      </c>
      <c r="C297" s="315">
        <v>3145</v>
      </c>
      <c r="D297" s="281">
        <v>3538</v>
      </c>
      <c r="E297" s="281">
        <v>1300</v>
      </c>
      <c r="F297" s="281"/>
      <c r="G297" s="281"/>
      <c r="H297" s="281"/>
      <c r="I297" s="281">
        <f t="shared" si="52"/>
        <v>1300</v>
      </c>
      <c r="J297" s="281">
        <f t="shared" si="51"/>
        <v>2238</v>
      </c>
      <c r="K297" s="351"/>
    </row>
    <row r="298" spans="1:11" ht="16.2" thickBot="1" x14ac:dyDescent="0.35">
      <c r="A298" s="315">
        <v>18</v>
      </c>
      <c r="B298" s="131" t="s">
        <v>599</v>
      </c>
      <c r="C298" s="315">
        <v>3146</v>
      </c>
      <c r="D298" s="281">
        <v>3538</v>
      </c>
      <c r="E298" s="281">
        <v>2040</v>
      </c>
      <c r="F298" s="281">
        <v>50</v>
      </c>
      <c r="G298" s="281">
        <v>1448</v>
      </c>
      <c r="H298" s="281"/>
      <c r="I298" s="281">
        <f t="shared" si="52"/>
        <v>3538</v>
      </c>
      <c r="J298" s="281">
        <f t="shared" si="51"/>
        <v>0</v>
      </c>
      <c r="K298" s="351" t="s">
        <v>1395</v>
      </c>
    </row>
    <row r="299" spans="1:11" ht="16.2" thickBot="1" x14ac:dyDescent="0.35">
      <c r="A299" s="315">
        <v>19</v>
      </c>
      <c r="B299" s="131" t="s">
        <v>578</v>
      </c>
      <c r="C299" s="315"/>
      <c r="D299" s="281">
        <v>3538</v>
      </c>
      <c r="E299" s="281">
        <v>1400</v>
      </c>
      <c r="F299" s="281"/>
      <c r="G299" s="281"/>
      <c r="H299" s="281"/>
      <c r="I299" s="281">
        <f t="shared" si="52"/>
        <v>1400</v>
      </c>
      <c r="J299" s="281">
        <f t="shared" si="51"/>
        <v>2138</v>
      </c>
      <c r="K299" s="281" t="s">
        <v>1395</v>
      </c>
    </row>
    <row r="300" spans="1:11" ht="16.2" thickBot="1" x14ac:dyDescent="0.35">
      <c r="A300" s="315">
        <v>20</v>
      </c>
      <c r="B300" s="131" t="s">
        <v>1465</v>
      </c>
      <c r="C300" s="315"/>
      <c r="D300" s="281">
        <v>5578</v>
      </c>
      <c r="E300" s="281">
        <v>2040</v>
      </c>
      <c r="F300" s="281">
        <v>760</v>
      </c>
      <c r="G300" s="281">
        <v>500</v>
      </c>
      <c r="H300" s="281">
        <v>450</v>
      </c>
      <c r="I300" s="281"/>
      <c r="J300" s="281">
        <f t="shared" si="51"/>
        <v>1828</v>
      </c>
      <c r="K300" s="351" t="s">
        <v>1583</v>
      </c>
    </row>
    <row r="301" spans="1:11" ht="16.2" thickBot="1" x14ac:dyDescent="0.35">
      <c r="A301" s="315">
        <v>21</v>
      </c>
      <c r="B301" s="131" t="s">
        <v>574</v>
      </c>
      <c r="C301" s="315"/>
      <c r="D301" s="281">
        <v>3538</v>
      </c>
      <c r="E301" s="281"/>
      <c r="F301" s="281"/>
      <c r="G301" s="281"/>
      <c r="H301" s="281"/>
      <c r="I301" s="281">
        <f t="shared" si="52"/>
        <v>0</v>
      </c>
      <c r="J301" s="281">
        <f t="shared" si="51"/>
        <v>3538</v>
      </c>
      <c r="K301" s="351"/>
    </row>
    <row r="302" spans="1:11" ht="16.2" thickBot="1" x14ac:dyDescent="0.35">
      <c r="A302" s="315">
        <v>22</v>
      </c>
      <c r="B302" s="131" t="s">
        <v>591</v>
      </c>
      <c r="C302" s="315">
        <v>3023</v>
      </c>
      <c r="D302" s="281">
        <v>3538</v>
      </c>
      <c r="E302" s="281">
        <v>1040</v>
      </c>
      <c r="F302" s="281">
        <v>720</v>
      </c>
      <c r="G302" s="281"/>
      <c r="H302" s="281"/>
      <c r="I302" s="281">
        <f t="shared" si="52"/>
        <v>1760</v>
      </c>
      <c r="J302" s="281">
        <f t="shared" si="51"/>
        <v>1778</v>
      </c>
      <c r="K302" s="351" t="s">
        <v>1395</v>
      </c>
    </row>
    <row r="303" spans="1:11" ht="16.2" thickBot="1" x14ac:dyDescent="0.35">
      <c r="A303" s="315">
        <v>23</v>
      </c>
      <c r="B303" s="134" t="s">
        <v>581</v>
      </c>
      <c r="C303" s="267">
        <v>3151</v>
      </c>
      <c r="D303" s="281">
        <v>3538</v>
      </c>
      <c r="E303" s="281">
        <v>2000</v>
      </c>
      <c r="F303" s="281"/>
      <c r="G303" s="281"/>
      <c r="H303" s="281"/>
      <c r="I303" s="281">
        <f t="shared" si="52"/>
        <v>2000</v>
      </c>
      <c r="J303" s="281">
        <f t="shared" si="51"/>
        <v>1538</v>
      </c>
      <c r="K303" s="351" t="s">
        <v>1395</v>
      </c>
    </row>
    <row r="304" spans="1:11" ht="16.2" thickBot="1" x14ac:dyDescent="0.35">
      <c r="A304" s="315">
        <v>24</v>
      </c>
      <c r="B304" s="131" t="s">
        <v>600</v>
      </c>
      <c r="C304" s="315">
        <v>3152</v>
      </c>
      <c r="D304" s="281">
        <v>3538</v>
      </c>
      <c r="E304" s="281">
        <v>2000</v>
      </c>
      <c r="F304" s="281"/>
      <c r="G304" s="281"/>
      <c r="H304" s="281"/>
      <c r="I304" s="281">
        <f t="shared" si="52"/>
        <v>2000</v>
      </c>
      <c r="J304" s="281">
        <f t="shared" si="51"/>
        <v>1538</v>
      </c>
      <c r="K304" s="351" t="s">
        <v>1395</v>
      </c>
    </row>
    <row r="305" spans="1:11" ht="16.2" thickBot="1" x14ac:dyDescent="0.35">
      <c r="A305" s="315">
        <v>25</v>
      </c>
      <c r="B305" s="131" t="s">
        <v>1645</v>
      </c>
      <c r="C305" s="315">
        <v>3693</v>
      </c>
      <c r="D305" s="281">
        <v>5578</v>
      </c>
      <c r="E305" s="281">
        <v>1000</v>
      </c>
      <c r="F305" s="281"/>
      <c r="G305" s="281"/>
      <c r="H305" s="281"/>
      <c r="I305" s="281">
        <f t="shared" si="52"/>
        <v>1000</v>
      </c>
      <c r="J305" s="281">
        <f t="shared" si="51"/>
        <v>4578</v>
      </c>
      <c r="K305" s="351" t="s">
        <v>1646</v>
      </c>
    </row>
    <row r="306" spans="1:11" ht="16.2" thickBot="1" x14ac:dyDescent="0.35">
      <c r="A306" s="315">
        <v>26</v>
      </c>
      <c r="B306" s="131" t="s">
        <v>1648</v>
      </c>
      <c r="C306" s="315">
        <v>3694</v>
      </c>
      <c r="D306" s="281">
        <v>5578</v>
      </c>
      <c r="E306" s="281">
        <v>3000</v>
      </c>
      <c r="F306" s="281"/>
      <c r="G306" s="281"/>
      <c r="H306" s="281"/>
      <c r="I306" s="281">
        <f t="shared" si="52"/>
        <v>3000</v>
      </c>
      <c r="J306" s="281">
        <f t="shared" si="51"/>
        <v>2578</v>
      </c>
      <c r="K306" s="351"/>
    </row>
    <row r="307" spans="1:11" ht="16.2" thickBot="1" x14ac:dyDescent="0.35">
      <c r="A307" s="315">
        <v>27</v>
      </c>
      <c r="B307" s="131" t="s">
        <v>852</v>
      </c>
      <c r="C307" s="315"/>
      <c r="D307" s="281">
        <v>3538</v>
      </c>
      <c r="E307" s="281">
        <v>2999</v>
      </c>
      <c r="F307" s="281"/>
      <c r="G307" s="281"/>
      <c r="H307" s="281"/>
      <c r="I307" s="281">
        <f t="shared" si="52"/>
        <v>2999</v>
      </c>
      <c r="J307" s="281">
        <f t="shared" si="51"/>
        <v>539</v>
      </c>
      <c r="K307" s="351"/>
    </row>
    <row r="308" spans="1:11" ht="16.2" thickBot="1" x14ac:dyDescent="0.35">
      <c r="A308" s="315">
        <v>28</v>
      </c>
      <c r="B308" s="131" t="s">
        <v>577</v>
      </c>
      <c r="C308" s="315"/>
      <c r="D308" s="281">
        <v>3538</v>
      </c>
      <c r="E308" s="281">
        <v>2000</v>
      </c>
      <c r="F308" s="281">
        <v>1538</v>
      </c>
      <c r="G308" s="281"/>
      <c r="H308" s="281"/>
      <c r="I308" s="281">
        <f t="shared" si="52"/>
        <v>3538</v>
      </c>
      <c r="J308" s="281">
        <f t="shared" si="51"/>
        <v>0</v>
      </c>
      <c r="K308" s="351" t="s">
        <v>1395</v>
      </c>
    </row>
    <row r="309" spans="1:11" ht="16.2" thickBot="1" x14ac:dyDescent="0.35">
      <c r="A309" s="315">
        <v>29</v>
      </c>
      <c r="B309" s="131" t="s">
        <v>579</v>
      </c>
      <c r="C309" s="315"/>
      <c r="D309" s="281">
        <v>3538</v>
      </c>
      <c r="E309" s="281">
        <v>1600</v>
      </c>
      <c r="F309" s="281"/>
      <c r="G309" s="281"/>
      <c r="H309" s="281"/>
      <c r="I309" s="281">
        <f t="shared" si="52"/>
        <v>1600</v>
      </c>
      <c r="J309" s="281">
        <f t="shared" si="51"/>
        <v>1938</v>
      </c>
      <c r="K309" s="351" t="s">
        <v>1395</v>
      </c>
    </row>
    <row r="310" spans="1:11" ht="16.2" thickBot="1" x14ac:dyDescent="0.35">
      <c r="A310" s="315">
        <v>30</v>
      </c>
      <c r="B310" s="131" t="s">
        <v>585</v>
      </c>
      <c r="C310" s="315">
        <v>3159</v>
      </c>
      <c r="D310" s="281">
        <v>3538</v>
      </c>
      <c r="E310" s="281">
        <v>1400</v>
      </c>
      <c r="F310" s="281"/>
      <c r="G310" s="281"/>
      <c r="H310" s="281"/>
      <c r="I310" s="281">
        <f t="shared" si="52"/>
        <v>1400</v>
      </c>
      <c r="J310" s="281">
        <f t="shared" si="51"/>
        <v>2138</v>
      </c>
      <c r="K310" s="351"/>
    </row>
    <row r="311" spans="1:11" ht="16.2" thickBot="1" x14ac:dyDescent="0.35">
      <c r="A311" s="315">
        <v>31</v>
      </c>
      <c r="B311" s="131" t="s">
        <v>1647</v>
      </c>
      <c r="C311" s="315">
        <v>3697</v>
      </c>
      <c r="D311" s="281">
        <v>5578</v>
      </c>
      <c r="E311" s="281">
        <v>1000</v>
      </c>
      <c r="F311" s="281"/>
      <c r="G311" s="281"/>
      <c r="H311" s="281"/>
      <c r="I311" s="281">
        <f t="shared" si="52"/>
        <v>1000</v>
      </c>
      <c r="J311" s="281">
        <f t="shared" si="51"/>
        <v>4578</v>
      </c>
      <c r="K311" s="351"/>
    </row>
    <row r="312" spans="1:11" ht="16.2" thickBot="1" x14ac:dyDescent="0.35">
      <c r="A312" s="315">
        <v>32</v>
      </c>
      <c r="B312" s="131" t="s">
        <v>590</v>
      </c>
      <c r="C312" s="315">
        <v>3161</v>
      </c>
      <c r="D312" s="281">
        <v>3538</v>
      </c>
      <c r="E312" s="281">
        <v>2000</v>
      </c>
      <c r="F312" s="281"/>
      <c r="G312" s="281"/>
      <c r="H312" s="281"/>
      <c r="I312" s="281">
        <f t="shared" si="52"/>
        <v>2000</v>
      </c>
      <c r="J312" s="281">
        <f t="shared" si="51"/>
        <v>1538</v>
      </c>
      <c r="K312" s="351"/>
    </row>
    <row r="313" spans="1:11" ht="16.2" thickBot="1" x14ac:dyDescent="0.35">
      <c r="A313" s="315">
        <v>33</v>
      </c>
      <c r="B313" s="131" t="s">
        <v>1516</v>
      </c>
      <c r="C313" s="315"/>
      <c r="D313" s="281">
        <v>5578</v>
      </c>
      <c r="E313" s="281">
        <v>3540</v>
      </c>
      <c r="F313" s="281"/>
      <c r="G313" s="281"/>
      <c r="H313" s="281"/>
      <c r="I313" s="281"/>
      <c r="J313" s="281">
        <f t="shared" si="51"/>
        <v>2038</v>
      </c>
      <c r="K313" s="351" t="s">
        <v>1758</v>
      </c>
    </row>
    <row r="314" spans="1:11" ht="16.2" thickBot="1" x14ac:dyDescent="0.35">
      <c r="A314" s="315">
        <v>34</v>
      </c>
      <c r="B314" s="131" t="s">
        <v>853</v>
      </c>
      <c r="C314" s="315"/>
      <c r="D314" s="281">
        <v>3538</v>
      </c>
      <c r="E314" s="281">
        <v>2000</v>
      </c>
      <c r="F314" s="281"/>
      <c r="G314" s="281"/>
      <c r="H314" s="281"/>
      <c r="I314" s="281">
        <f t="shared" si="52"/>
        <v>2000</v>
      </c>
      <c r="J314" s="281">
        <f t="shared" si="51"/>
        <v>1538</v>
      </c>
      <c r="K314" s="351"/>
    </row>
    <row r="315" spans="1:11" ht="16.2" thickBot="1" x14ac:dyDescent="0.35">
      <c r="A315" s="315">
        <v>35</v>
      </c>
      <c r="B315" s="131" t="s">
        <v>594</v>
      </c>
      <c r="C315" s="315">
        <v>3144</v>
      </c>
      <c r="D315" s="281">
        <v>3538</v>
      </c>
      <c r="E315" s="281">
        <v>2038</v>
      </c>
      <c r="F315" s="281"/>
      <c r="G315" s="281"/>
      <c r="H315" s="281"/>
      <c r="I315" s="281">
        <f t="shared" si="52"/>
        <v>2038</v>
      </c>
      <c r="J315" s="281">
        <f t="shared" si="51"/>
        <v>1500</v>
      </c>
      <c r="K315" s="351"/>
    </row>
    <row r="316" spans="1:11" ht="16.2" thickBot="1" x14ac:dyDescent="0.35">
      <c r="A316" s="315">
        <v>36</v>
      </c>
      <c r="B316" s="131" t="s">
        <v>580</v>
      </c>
      <c r="C316" s="315">
        <v>3163</v>
      </c>
      <c r="D316" s="281">
        <v>3538</v>
      </c>
      <c r="E316" s="281">
        <v>1000</v>
      </c>
      <c r="F316" s="281">
        <v>1938</v>
      </c>
      <c r="G316" s="281"/>
      <c r="H316" s="281"/>
      <c r="I316" s="281">
        <f t="shared" si="52"/>
        <v>2938</v>
      </c>
      <c r="J316" s="281">
        <f t="shared" si="51"/>
        <v>600</v>
      </c>
      <c r="K316" s="351"/>
    </row>
    <row r="317" spans="1:11" ht="16.2" thickBot="1" x14ac:dyDescent="0.35">
      <c r="A317" s="315">
        <v>37</v>
      </c>
      <c r="B317" s="131" t="s">
        <v>587</v>
      </c>
      <c r="C317" s="315"/>
      <c r="D317" s="281">
        <v>3538</v>
      </c>
      <c r="E317" s="281"/>
      <c r="F317" s="281"/>
      <c r="G317" s="281"/>
      <c r="H317" s="281"/>
      <c r="I317" s="281">
        <f t="shared" si="52"/>
        <v>0</v>
      </c>
      <c r="J317" s="281">
        <f t="shared" si="51"/>
        <v>3538</v>
      </c>
      <c r="K317" s="351"/>
    </row>
    <row r="318" spans="1:11" ht="16.2" thickBot="1" x14ac:dyDescent="0.35">
      <c r="A318" s="315">
        <v>38</v>
      </c>
      <c r="B318" s="131" t="s">
        <v>601</v>
      </c>
      <c r="C318" s="315">
        <v>3165</v>
      </c>
      <c r="D318" s="281">
        <v>3538</v>
      </c>
      <c r="E318" s="281"/>
      <c r="F318" s="281"/>
      <c r="G318" s="281"/>
      <c r="H318" s="281"/>
      <c r="I318" s="281">
        <f t="shared" si="52"/>
        <v>0</v>
      </c>
      <c r="J318" s="281">
        <f t="shared" si="51"/>
        <v>3538</v>
      </c>
      <c r="K318" s="351"/>
    </row>
    <row r="319" spans="1:11" ht="16.2" thickBot="1" x14ac:dyDescent="0.35">
      <c r="A319" s="315">
        <v>39</v>
      </c>
      <c r="B319" s="131" t="s">
        <v>1633</v>
      </c>
      <c r="C319" s="315">
        <v>3707</v>
      </c>
      <c r="D319" s="281">
        <v>5578</v>
      </c>
      <c r="E319" s="281">
        <v>2000</v>
      </c>
      <c r="F319" s="281"/>
      <c r="G319" s="281"/>
      <c r="H319" s="281"/>
      <c r="I319" s="281"/>
      <c r="J319" s="281">
        <f t="shared" si="51"/>
        <v>3578</v>
      </c>
      <c r="K319" s="351"/>
    </row>
    <row r="320" spans="1:11" ht="16.2" thickBot="1" x14ac:dyDescent="0.35">
      <c r="A320" s="315">
        <v>40</v>
      </c>
      <c r="B320" s="131" t="s">
        <v>884</v>
      </c>
      <c r="C320" s="315"/>
      <c r="D320" s="281">
        <v>3538</v>
      </c>
      <c r="E320" s="537">
        <v>3538</v>
      </c>
      <c r="F320" s="281">
        <v>800</v>
      </c>
      <c r="G320" s="281"/>
      <c r="H320" s="281"/>
      <c r="I320" s="281">
        <f t="shared" si="52"/>
        <v>4338</v>
      </c>
      <c r="J320" s="281">
        <f t="shared" si="51"/>
        <v>-800</v>
      </c>
      <c r="K320" s="351" t="s">
        <v>1395</v>
      </c>
    </row>
    <row r="321" spans="1:11" ht="16.2" thickBot="1" x14ac:dyDescent="0.35">
      <c r="A321" s="315">
        <v>41</v>
      </c>
      <c r="B321" s="131" t="s">
        <v>925</v>
      </c>
      <c r="C321" s="315">
        <v>3154</v>
      </c>
      <c r="D321" s="281">
        <v>3538</v>
      </c>
      <c r="E321" s="281">
        <v>1800</v>
      </c>
      <c r="F321" s="281"/>
      <c r="G321" s="281"/>
      <c r="H321" s="281"/>
      <c r="I321" s="281">
        <f t="shared" si="52"/>
        <v>1800</v>
      </c>
      <c r="J321" s="281">
        <f t="shared" si="51"/>
        <v>1738</v>
      </c>
      <c r="K321" s="351"/>
    </row>
    <row r="322" spans="1:11" ht="16.2" thickBot="1" x14ac:dyDescent="0.35">
      <c r="A322" s="315">
        <v>42</v>
      </c>
      <c r="B322" s="282" t="s">
        <v>988</v>
      </c>
      <c r="C322" s="283">
        <v>3148</v>
      </c>
      <c r="D322" s="281">
        <v>3538</v>
      </c>
      <c r="E322" s="284"/>
      <c r="F322" s="284"/>
      <c r="G322" s="284"/>
      <c r="H322" s="284"/>
      <c r="I322" s="284">
        <f t="shared" si="52"/>
        <v>0</v>
      </c>
      <c r="J322" s="284">
        <f t="shared" si="51"/>
        <v>3538</v>
      </c>
      <c r="K322" s="352"/>
    </row>
    <row r="323" spans="1:11" ht="15.6" x14ac:dyDescent="0.3">
      <c r="A323" s="373"/>
      <c r="B323" s="148"/>
      <c r="C323" s="148"/>
      <c r="D323" s="494">
        <f>SUM(D281:D322)</f>
        <v>162876</v>
      </c>
      <c r="E323" s="494">
        <f t="shared" ref="E323:J323" si="55">SUM(E281:E322)</f>
        <v>59311</v>
      </c>
      <c r="F323" s="494">
        <f t="shared" si="55"/>
        <v>9906</v>
      </c>
      <c r="G323" s="494">
        <f t="shared" si="55"/>
        <v>1948</v>
      </c>
      <c r="H323" s="494">
        <f t="shared" si="55"/>
        <v>450</v>
      </c>
      <c r="I323" s="494">
        <f t="shared" si="55"/>
        <v>59825</v>
      </c>
      <c r="J323" s="494">
        <f t="shared" si="55"/>
        <v>91261</v>
      </c>
      <c r="K323" s="148"/>
    </row>
    <row r="324" spans="1:11" ht="15.6" x14ac:dyDescent="0.3">
      <c r="A324" s="277"/>
      <c r="B324" s="143"/>
      <c r="C324" s="143"/>
      <c r="D324" s="142"/>
      <c r="E324" s="142"/>
      <c r="F324" s="142"/>
      <c r="G324" s="142"/>
      <c r="H324" s="142"/>
      <c r="I324" s="142"/>
      <c r="J324" s="142"/>
      <c r="K324" s="143"/>
    </row>
    <row r="325" spans="1:11" ht="15.6" x14ac:dyDescent="0.3">
      <c r="A325" s="278"/>
      <c r="B325" s="280"/>
      <c r="C325" s="280"/>
      <c r="D325" s="279"/>
      <c r="E325" s="279"/>
      <c r="F325" s="279"/>
      <c r="G325" s="279"/>
      <c r="H325" s="279"/>
      <c r="I325" s="279"/>
      <c r="J325" s="279"/>
      <c r="K325" s="280"/>
    </row>
    <row r="326" spans="1:11" ht="16.2" thickBot="1" x14ac:dyDescent="0.35">
      <c r="A326" s="362" t="s">
        <v>1260</v>
      </c>
      <c r="B326" s="309"/>
      <c r="C326" s="363"/>
      <c r="D326" s="363"/>
      <c r="E326" s="363"/>
      <c r="F326" s="363"/>
      <c r="G326" s="363"/>
      <c r="H326" s="363"/>
      <c r="I326" s="363"/>
      <c r="J326" s="363"/>
      <c r="K326" s="420"/>
    </row>
    <row r="327" spans="1:11" ht="27.6" thickBot="1" x14ac:dyDescent="0.35">
      <c r="A327" s="354" t="s">
        <v>0</v>
      </c>
      <c r="B327" s="295" t="s">
        <v>1</v>
      </c>
      <c r="C327" s="354" t="s">
        <v>2</v>
      </c>
      <c r="D327" s="355" t="s">
        <v>854</v>
      </c>
      <c r="E327" s="573" t="s">
        <v>855</v>
      </c>
      <c r="F327" s="574"/>
      <c r="G327" s="574"/>
      <c r="H327" s="575"/>
      <c r="I327" s="416"/>
      <c r="J327" s="357" t="s">
        <v>856</v>
      </c>
      <c r="K327" s="351"/>
    </row>
    <row r="328" spans="1:11" ht="16.2" thickBot="1" x14ac:dyDescent="0.35">
      <c r="A328" s="315">
        <v>1</v>
      </c>
      <c r="B328" s="134" t="s">
        <v>47</v>
      </c>
      <c r="C328" s="267">
        <v>2574</v>
      </c>
      <c r="D328" s="281">
        <v>3203</v>
      </c>
      <c r="E328" s="281">
        <v>3202</v>
      </c>
      <c r="F328" s="281"/>
      <c r="G328" s="281"/>
      <c r="H328" s="281"/>
      <c r="I328" s="281">
        <f>SUM(E328:H328)</f>
        <v>3202</v>
      </c>
      <c r="J328" s="281">
        <f t="shared" ref="J328:J359" si="56">D328-E328-F328-G328-H328</f>
        <v>1</v>
      </c>
      <c r="K328" s="351" t="s">
        <v>1395</v>
      </c>
    </row>
    <row r="329" spans="1:11" ht="16.2" thickBot="1" x14ac:dyDescent="0.35">
      <c r="A329" s="315">
        <v>2</v>
      </c>
      <c r="B329" s="134" t="s">
        <v>256</v>
      </c>
      <c r="C329" s="267"/>
      <c r="D329" s="281">
        <v>3203</v>
      </c>
      <c r="E329" s="281">
        <v>3203</v>
      </c>
      <c r="F329" s="281"/>
      <c r="G329" s="281"/>
      <c r="H329" s="281"/>
      <c r="I329" s="281">
        <f t="shared" ref="I329:I383" si="57">SUM(E329:H329)</f>
        <v>3203</v>
      </c>
      <c r="J329" s="281">
        <f t="shared" si="56"/>
        <v>0</v>
      </c>
      <c r="K329" s="351" t="s">
        <v>1395</v>
      </c>
    </row>
    <row r="330" spans="1:11" ht="16.2" thickBot="1" x14ac:dyDescent="0.35">
      <c r="A330" s="315">
        <v>3</v>
      </c>
      <c r="B330" s="134" t="s">
        <v>252</v>
      </c>
      <c r="C330" s="267">
        <v>2575</v>
      </c>
      <c r="D330" s="281">
        <v>3203</v>
      </c>
      <c r="E330" s="281">
        <v>1603</v>
      </c>
      <c r="F330" s="281"/>
      <c r="G330" s="281"/>
      <c r="H330" s="281"/>
      <c r="I330" s="281">
        <f t="shared" si="57"/>
        <v>1603</v>
      </c>
      <c r="J330" s="281">
        <f t="shared" si="56"/>
        <v>1600</v>
      </c>
      <c r="K330" s="377" t="s">
        <v>1395</v>
      </c>
    </row>
    <row r="331" spans="1:11" ht="16.2" thickBot="1" x14ac:dyDescent="0.35">
      <c r="A331" s="315">
        <v>4</v>
      </c>
      <c r="B331" s="134" t="s">
        <v>259</v>
      </c>
      <c r="C331" s="267">
        <v>2576</v>
      </c>
      <c r="D331" s="281">
        <v>3203</v>
      </c>
      <c r="E331" s="281">
        <v>2000</v>
      </c>
      <c r="F331" s="281">
        <v>1203</v>
      </c>
      <c r="G331" s="281"/>
      <c r="H331" s="281"/>
      <c r="I331" s="281">
        <f t="shared" si="57"/>
        <v>3203</v>
      </c>
      <c r="J331" s="281">
        <f t="shared" si="56"/>
        <v>0</v>
      </c>
      <c r="K331" s="351" t="s">
        <v>1395</v>
      </c>
    </row>
    <row r="332" spans="1:11" ht="16.2" thickBot="1" x14ac:dyDescent="0.35">
      <c r="A332" s="549">
        <v>5</v>
      </c>
      <c r="B332" s="564" t="s">
        <v>254</v>
      </c>
      <c r="C332" s="565">
        <v>2577</v>
      </c>
      <c r="D332" s="553">
        <v>3203</v>
      </c>
      <c r="E332" s="553"/>
      <c r="F332" s="553"/>
      <c r="G332" s="553"/>
      <c r="H332" s="553"/>
      <c r="I332" s="553">
        <f t="shared" si="57"/>
        <v>0</v>
      </c>
      <c r="J332" s="553">
        <f t="shared" si="56"/>
        <v>3203</v>
      </c>
      <c r="K332" s="571" t="s">
        <v>1736</v>
      </c>
    </row>
    <row r="333" spans="1:11" ht="16.2" thickBot="1" x14ac:dyDescent="0.35">
      <c r="A333" s="315">
        <v>6</v>
      </c>
      <c r="B333" s="134" t="s">
        <v>331</v>
      </c>
      <c r="C333" s="267">
        <v>2578</v>
      </c>
      <c r="D333" s="281">
        <v>3203</v>
      </c>
      <c r="E333" s="281">
        <v>2000</v>
      </c>
      <c r="F333" s="281"/>
      <c r="G333" s="281"/>
      <c r="H333" s="281"/>
      <c r="I333" s="281">
        <f t="shared" si="57"/>
        <v>2000</v>
      </c>
      <c r="J333" s="281">
        <f t="shared" si="56"/>
        <v>1203</v>
      </c>
      <c r="K333" s="377" t="s">
        <v>1395</v>
      </c>
    </row>
    <row r="334" spans="1:11" ht="16.2" thickBot="1" x14ac:dyDescent="0.35">
      <c r="A334" s="315">
        <v>7</v>
      </c>
      <c r="B334" s="134" t="s">
        <v>656</v>
      </c>
      <c r="C334" s="267"/>
      <c r="D334" s="281">
        <v>3203</v>
      </c>
      <c r="E334" s="281"/>
      <c r="F334" s="281"/>
      <c r="G334" s="281"/>
      <c r="H334" s="281"/>
      <c r="I334" s="281">
        <f t="shared" si="57"/>
        <v>0</v>
      </c>
      <c r="J334" s="281">
        <f t="shared" si="56"/>
        <v>3203</v>
      </c>
      <c r="K334" s="351"/>
    </row>
    <row r="335" spans="1:11" ht="16.2" thickBot="1" x14ac:dyDescent="0.35">
      <c r="A335" s="315">
        <v>8</v>
      </c>
      <c r="B335" s="134" t="s">
        <v>89</v>
      </c>
      <c r="C335" s="267">
        <v>2579</v>
      </c>
      <c r="D335" s="281">
        <v>3203</v>
      </c>
      <c r="E335" s="281">
        <v>1930</v>
      </c>
      <c r="F335" s="281"/>
      <c r="G335" s="281"/>
      <c r="H335" s="281"/>
      <c r="I335" s="281">
        <f t="shared" si="57"/>
        <v>1930</v>
      </c>
      <c r="J335" s="281">
        <f t="shared" si="56"/>
        <v>1273</v>
      </c>
      <c r="K335" s="351" t="s">
        <v>1395</v>
      </c>
    </row>
    <row r="336" spans="1:11" ht="16.2" thickBot="1" x14ac:dyDescent="0.35">
      <c r="A336" s="315">
        <v>9</v>
      </c>
      <c r="B336" s="134" t="s">
        <v>604</v>
      </c>
      <c r="C336" s="292">
        <v>3136</v>
      </c>
      <c r="D336" s="281">
        <v>3203</v>
      </c>
      <c r="E336" s="281"/>
      <c r="F336" s="281"/>
      <c r="G336" s="281"/>
      <c r="H336" s="281"/>
      <c r="I336" s="281">
        <f t="shared" si="57"/>
        <v>0</v>
      </c>
      <c r="J336" s="281">
        <f t="shared" si="56"/>
        <v>3203</v>
      </c>
      <c r="K336" s="377" t="s">
        <v>1395</v>
      </c>
    </row>
    <row r="337" spans="1:12" ht="16.2" thickBot="1" x14ac:dyDescent="0.35">
      <c r="A337" s="315">
        <v>10</v>
      </c>
      <c r="B337" s="134" t="s">
        <v>340</v>
      </c>
      <c r="C337" s="267">
        <v>2616</v>
      </c>
      <c r="D337" s="281">
        <v>3203</v>
      </c>
      <c r="E337" s="281">
        <v>1929</v>
      </c>
      <c r="F337" s="281"/>
      <c r="G337" s="281"/>
      <c r="H337" s="281"/>
      <c r="I337" s="281">
        <f t="shared" si="57"/>
        <v>1929</v>
      </c>
      <c r="J337" s="281">
        <f t="shared" si="56"/>
        <v>1274</v>
      </c>
      <c r="K337" s="351"/>
      <c r="L337" s="294" t="s">
        <v>1725</v>
      </c>
    </row>
    <row r="338" spans="1:12" ht="16.2" thickBot="1" x14ac:dyDescent="0.35">
      <c r="A338" s="315">
        <v>11</v>
      </c>
      <c r="B338" s="134" t="s">
        <v>246</v>
      </c>
      <c r="C338" s="267">
        <v>2580</v>
      </c>
      <c r="D338" s="281">
        <v>3203</v>
      </c>
      <c r="E338" s="281"/>
      <c r="F338" s="281"/>
      <c r="G338" s="281"/>
      <c r="H338" s="281"/>
      <c r="I338" s="281">
        <f t="shared" si="57"/>
        <v>0</v>
      </c>
      <c r="J338" s="281">
        <f t="shared" si="56"/>
        <v>3203</v>
      </c>
      <c r="K338" s="351"/>
    </row>
    <row r="339" spans="1:12" ht="16.2" thickBot="1" x14ac:dyDescent="0.35">
      <c r="A339" s="549">
        <v>12</v>
      </c>
      <c r="B339" s="564" t="s">
        <v>260</v>
      </c>
      <c r="C339" s="565">
        <v>2581</v>
      </c>
      <c r="D339" s="553">
        <v>3203</v>
      </c>
      <c r="E339" s="553"/>
      <c r="F339" s="553"/>
      <c r="G339" s="553"/>
      <c r="H339" s="553"/>
      <c r="I339" s="553">
        <f t="shared" si="57"/>
        <v>0</v>
      </c>
      <c r="J339" s="553">
        <f t="shared" si="56"/>
        <v>3203</v>
      </c>
      <c r="K339" s="571" t="s">
        <v>1736</v>
      </c>
    </row>
    <row r="340" spans="1:12" ht="16.2" thickBot="1" x14ac:dyDescent="0.35">
      <c r="A340" s="315">
        <v>13</v>
      </c>
      <c r="B340" s="134" t="s">
        <v>247</v>
      </c>
      <c r="C340" s="267">
        <v>2583</v>
      </c>
      <c r="D340" s="281">
        <v>3203</v>
      </c>
      <c r="E340" s="281">
        <v>1500</v>
      </c>
      <c r="F340" s="281"/>
      <c r="G340" s="281"/>
      <c r="H340" s="281"/>
      <c r="I340" s="281">
        <f t="shared" si="57"/>
        <v>1500</v>
      </c>
      <c r="J340" s="281">
        <f t="shared" si="56"/>
        <v>1703</v>
      </c>
      <c r="K340" s="351" t="s">
        <v>1395</v>
      </c>
    </row>
    <row r="341" spans="1:12" ht="16.2" thickBot="1" x14ac:dyDescent="0.35">
      <c r="A341" s="315">
        <v>14</v>
      </c>
      <c r="B341" s="134" t="s">
        <v>257</v>
      </c>
      <c r="C341" s="267"/>
      <c r="D341" s="281">
        <v>3203</v>
      </c>
      <c r="E341" s="281"/>
      <c r="F341" s="281"/>
      <c r="G341" s="281"/>
      <c r="H341" s="281"/>
      <c r="I341" s="281">
        <f t="shared" si="57"/>
        <v>0</v>
      </c>
      <c r="J341" s="281">
        <f t="shared" si="56"/>
        <v>3203</v>
      </c>
      <c r="K341" s="351"/>
    </row>
    <row r="342" spans="1:12" ht="16.2" thickBot="1" x14ac:dyDescent="0.35">
      <c r="A342" s="315">
        <v>15</v>
      </c>
      <c r="B342" s="134" t="s">
        <v>51</v>
      </c>
      <c r="C342" s="267">
        <v>2585</v>
      </c>
      <c r="D342" s="281">
        <v>3203</v>
      </c>
      <c r="E342" s="281"/>
      <c r="F342" s="281"/>
      <c r="G342" s="281"/>
      <c r="H342" s="281"/>
      <c r="I342" s="281">
        <f t="shared" si="57"/>
        <v>0</v>
      </c>
      <c r="J342" s="281">
        <f t="shared" si="56"/>
        <v>3203</v>
      </c>
      <c r="K342" s="351"/>
    </row>
    <row r="343" spans="1:12" ht="16.2" thickBot="1" x14ac:dyDescent="0.35">
      <c r="A343" s="549">
        <v>16</v>
      </c>
      <c r="B343" s="564" t="s">
        <v>45</v>
      </c>
      <c r="C343" s="565">
        <v>2586</v>
      </c>
      <c r="D343" s="553">
        <v>3203</v>
      </c>
      <c r="E343" s="553"/>
      <c r="F343" s="553"/>
      <c r="G343" s="553"/>
      <c r="H343" s="553"/>
      <c r="I343" s="553">
        <f t="shared" si="57"/>
        <v>0</v>
      </c>
      <c r="J343" s="553">
        <f t="shared" si="56"/>
        <v>3203</v>
      </c>
      <c r="K343" s="571" t="s">
        <v>1736</v>
      </c>
    </row>
    <row r="344" spans="1:12" ht="16.2" thickBot="1" x14ac:dyDescent="0.35">
      <c r="A344" s="315">
        <v>17</v>
      </c>
      <c r="B344" s="134" t="s">
        <v>261</v>
      </c>
      <c r="C344" s="267">
        <v>2587</v>
      </c>
      <c r="D344" s="281">
        <v>3203</v>
      </c>
      <c r="E344" s="281">
        <v>1400</v>
      </c>
      <c r="F344" s="281"/>
      <c r="G344" s="281"/>
      <c r="H344" s="281"/>
      <c r="I344" s="281">
        <f t="shared" si="57"/>
        <v>1400</v>
      </c>
      <c r="J344" s="281">
        <f t="shared" si="56"/>
        <v>1803</v>
      </c>
      <c r="K344" s="351" t="s">
        <v>1395</v>
      </c>
    </row>
    <row r="345" spans="1:12" ht="16.2" thickBot="1" x14ac:dyDescent="0.35">
      <c r="A345" s="315">
        <v>18</v>
      </c>
      <c r="B345" s="134" t="s">
        <v>243</v>
      </c>
      <c r="C345" s="267">
        <v>2588</v>
      </c>
      <c r="D345" s="281">
        <v>3203</v>
      </c>
      <c r="E345" s="281"/>
      <c r="F345" s="281"/>
      <c r="G345" s="281"/>
      <c r="H345" s="281"/>
      <c r="I345" s="281">
        <f t="shared" si="57"/>
        <v>0</v>
      </c>
      <c r="J345" s="281">
        <f t="shared" si="56"/>
        <v>3203</v>
      </c>
      <c r="K345" s="351"/>
    </row>
    <row r="346" spans="1:12" ht="16.2" thickBot="1" x14ac:dyDescent="0.35">
      <c r="A346" s="315">
        <v>19</v>
      </c>
      <c r="B346" s="134" t="s">
        <v>88</v>
      </c>
      <c r="C346" s="267">
        <v>2589</v>
      </c>
      <c r="D346" s="281">
        <v>3203</v>
      </c>
      <c r="E346" s="281">
        <v>1200</v>
      </c>
      <c r="F346" s="281">
        <v>800</v>
      </c>
      <c r="G346" s="281"/>
      <c r="H346" s="281"/>
      <c r="I346" s="281">
        <f t="shared" si="57"/>
        <v>2000</v>
      </c>
      <c r="J346" s="281">
        <f t="shared" si="56"/>
        <v>1203</v>
      </c>
      <c r="K346" s="351"/>
    </row>
    <row r="347" spans="1:12" ht="16.2" thickBot="1" x14ac:dyDescent="0.35">
      <c r="A347" s="549">
        <v>20</v>
      </c>
      <c r="B347" s="564" t="s">
        <v>258</v>
      </c>
      <c r="C347" s="565"/>
      <c r="D347" s="553">
        <v>3203</v>
      </c>
      <c r="E347" s="553"/>
      <c r="F347" s="553"/>
      <c r="G347" s="553"/>
      <c r="H347" s="553"/>
      <c r="I347" s="553">
        <f t="shared" si="57"/>
        <v>0</v>
      </c>
      <c r="J347" s="553">
        <f t="shared" si="56"/>
        <v>3203</v>
      </c>
      <c r="K347" s="571" t="s">
        <v>1736</v>
      </c>
    </row>
    <row r="348" spans="1:12" ht="16.2" thickBot="1" x14ac:dyDescent="0.35">
      <c r="A348" s="315">
        <v>21</v>
      </c>
      <c r="B348" s="134" t="s">
        <v>255</v>
      </c>
      <c r="C348" s="267">
        <v>2749</v>
      </c>
      <c r="D348" s="281">
        <v>3203</v>
      </c>
      <c r="E348" s="281">
        <v>2203</v>
      </c>
      <c r="F348" s="281">
        <v>1000</v>
      </c>
      <c r="G348" s="281"/>
      <c r="H348" s="281"/>
      <c r="I348" s="281">
        <f t="shared" si="57"/>
        <v>3203</v>
      </c>
      <c r="J348" s="281">
        <f t="shared" si="56"/>
        <v>0</v>
      </c>
      <c r="K348" s="351"/>
    </row>
    <row r="349" spans="1:12" ht="16.2" thickBot="1" x14ac:dyDescent="0.35">
      <c r="A349" s="315">
        <v>22</v>
      </c>
      <c r="B349" s="134" t="s">
        <v>321</v>
      </c>
      <c r="C349" s="267">
        <v>2590</v>
      </c>
      <c r="D349" s="281">
        <v>3203</v>
      </c>
      <c r="E349" s="281">
        <v>1500</v>
      </c>
      <c r="F349" s="281"/>
      <c r="G349" s="281"/>
      <c r="H349" s="281"/>
      <c r="I349" s="281">
        <f t="shared" si="57"/>
        <v>1500</v>
      </c>
      <c r="J349" s="281">
        <f t="shared" si="56"/>
        <v>1703</v>
      </c>
      <c r="K349" s="351" t="s">
        <v>1395</v>
      </c>
    </row>
    <row r="350" spans="1:12" ht="16.2" thickBot="1" x14ac:dyDescent="0.35">
      <c r="A350" s="315">
        <v>23</v>
      </c>
      <c r="B350" s="134" t="s">
        <v>251</v>
      </c>
      <c r="C350" s="267">
        <v>2591</v>
      </c>
      <c r="D350" s="281">
        <v>3203</v>
      </c>
      <c r="E350" s="281"/>
      <c r="F350" s="281"/>
      <c r="G350" s="281"/>
      <c r="H350" s="281"/>
      <c r="I350" s="281">
        <f t="shared" si="57"/>
        <v>0</v>
      </c>
      <c r="J350" s="281">
        <f t="shared" si="56"/>
        <v>3203</v>
      </c>
      <c r="K350" s="351"/>
    </row>
    <row r="351" spans="1:12" ht="16.2" thickBot="1" x14ac:dyDescent="0.35">
      <c r="A351" s="315">
        <v>24</v>
      </c>
      <c r="B351" s="134" t="s">
        <v>245</v>
      </c>
      <c r="C351" s="267">
        <v>2592</v>
      </c>
      <c r="D351" s="281">
        <v>3203</v>
      </c>
      <c r="E351" s="281">
        <v>2000</v>
      </c>
      <c r="F351" s="281"/>
      <c r="G351" s="281"/>
      <c r="H351" s="281"/>
      <c r="I351" s="281">
        <f t="shared" si="57"/>
        <v>2000</v>
      </c>
      <c r="J351" s="281">
        <f t="shared" si="56"/>
        <v>1203</v>
      </c>
      <c r="K351" s="377" t="s">
        <v>1395</v>
      </c>
    </row>
    <row r="352" spans="1:12" ht="16.2" thickBot="1" x14ac:dyDescent="0.35">
      <c r="A352" s="549">
        <v>25</v>
      </c>
      <c r="B352" s="564" t="s">
        <v>262</v>
      </c>
      <c r="C352" s="565">
        <v>2593</v>
      </c>
      <c r="D352" s="553">
        <v>3203</v>
      </c>
      <c r="E352" s="553"/>
      <c r="F352" s="553"/>
      <c r="G352" s="553"/>
      <c r="H352" s="553"/>
      <c r="I352" s="553">
        <f t="shared" si="57"/>
        <v>0</v>
      </c>
      <c r="J352" s="553">
        <f t="shared" si="56"/>
        <v>3203</v>
      </c>
      <c r="K352" s="571" t="s">
        <v>1736</v>
      </c>
    </row>
    <row r="353" spans="1:11" ht="16.2" thickBot="1" x14ac:dyDescent="0.35">
      <c r="A353" s="315">
        <v>26</v>
      </c>
      <c r="B353" s="134" t="s">
        <v>278</v>
      </c>
      <c r="C353" s="292">
        <v>2619</v>
      </c>
      <c r="D353" s="281">
        <v>3203</v>
      </c>
      <c r="E353" s="281"/>
      <c r="F353" s="281"/>
      <c r="G353" s="281"/>
      <c r="H353" s="281"/>
      <c r="I353" s="281">
        <f t="shared" si="57"/>
        <v>0</v>
      </c>
      <c r="J353" s="281">
        <f t="shared" si="56"/>
        <v>3203</v>
      </c>
      <c r="K353" s="351"/>
    </row>
    <row r="354" spans="1:11" ht="16.2" thickBot="1" x14ac:dyDescent="0.35">
      <c r="A354" s="315">
        <v>27</v>
      </c>
      <c r="B354" s="134" t="s">
        <v>253</v>
      </c>
      <c r="C354" s="267">
        <v>2594</v>
      </c>
      <c r="D354" s="281">
        <v>3203</v>
      </c>
      <c r="E354" s="281"/>
      <c r="F354" s="281"/>
      <c r="G354" s="281"/>
      <c r="H354" s="281"/>
      <c r="I354" s="281">
        <f t="shared" si="57"/>
        <v>0</v>
      </c>
      <c r="J354" s="281">
        <f t="shared" si="56"/>
        <v>3203</v>
      </c>
      <c r="K354" s="351"/>
    </row>
    <row r="355" spans="1:11" ht="16.2" thickBot="1" x14ac:dyDescent="0.35">
      <c r="A355" s="315">
        <v>28</v>
      </c>
      <c r="B355" s="134" t="s">
        <v>46</v>
      </c>
      <c r="C355" s="267">
        <v>2595</v>
      </c>
      <c r="D355" s="281">
        <v>3203</v>
      </c>
      <c r="E355" s="281">
        <v>2000</v>
      </c>
      <c r="F355" s="281"/>
      <c r="G355" s="281"/>
      <c r="H355" s="281"/>
      <c r="I355" s="281">
        <f t="shared" si="57"/>
        <v>2000</v>
      </c>
      <c r="J355" s="281">
        <f t="shared" si="56"/>
        <v>1203</v>
      </c>
      <c r="K355" s="351" t="s">
        <v>1395</v>
      </c>
    </row>
    <row r="356" spans="1:11" ht="16.2" thickBot="1" x14ac:dyDescent="0.35">
      <c r="A356" s="315">
        <v>29</v>
      </c>
      <c r="B356" s="134" t="s">
        <v>250</v>
      </c>
      <c r="C356" s="267">
        <v>2596</v>
      </c>
      <c r="D356" s="281">
        <v>3203</v>
      </c>
      <c r="E356" s="537">
        <v>1116</v>
      </c>
      <c r="F356" s="281"/>
      <c r="G356" s="281"/>
      <c r="H356" s="281"/>
      <c r="I356" s="281">
        <f t="shared" si="57"/>
        <v>1116</v>
      </c>
      <c r="J356" s="281">
        <f t="shared" si="56"/>
        <v>2087</v>
      </c>
      <c r="K356" s="539" t="s">
        <v>1630</v>
      </c>
    </row>
    <row r="357" spans="1:11" ht="16.2" thickBot="1" x14ac:dyDescent="0.35">
      <c r="A357" s="315">
        <v>30</v>
      </c>
      <c r="B357" s="134" t="s">
        <v>606</v>
      </c>
      <c r="C357" s="292">
        <v>2620</v>
      </c>
      <c r="D357" s="281">
        <v>3203</v>
      </c>
      <c r="E357" s="281"/>
      <c r="F357" s="281"/>
      <c r="G357" s="281"/>
      <c r="H357" s="281"/>
      <c r="I357" s="281">
        <f t="shared" si="57"/>
        <v>0</v>
      </c>
      <c r="J357" s="281">
        <f t="shared" si="56"/>
        <v>3203</v>
      </c>
      <c r="K357" s="351"/>
    </row>
    <row r="358" spans="1:11" ht="16.2" thickBot="1" x14ac:dyDescent="0.35">
      <c r="A358" s="315">
        <v>31</v>
      </c>
      <c r="B358" s="134" t="s">
        <v>41</v>
      </c>
      <c r="C358" s="267">
        <v>2597</v>
      </c>
      <c r="D358" s="281">
        <v>3203</v>
      </c>
      <c r="E358" s="281">
        <v>1700</v>
      </c>
      <c r="F358" s="281"/>
      <c r="G358" s="281"/>
      <c r="H358" s="281"/>
      <c r="I358" s="281">
        <f t="shared" si="57"/>
        <v>1700</v>
      </c>
      <c r="J358" s="281">
        <f t="shared" si="56"/>
        <v>1503</v>
      </c>
      <c r="K358" s="351" t="s">
        <v>1395</v>
      </c>
    </row>
    <row r="359" spans="1:11" ht="16.2" thickBot="1" x14ac:dyDescent="0.35">
      <c r="A359" s="315">
        <v>32</v>
      </c>
      <c r="B359" s="112" t="s">
        <v>265</v>
      </c>
      <c r="C359" s="292">
        <v>2598</v>
      </c>
      <c r="D359" s="281">
        <v>3203</v>
      </c>
      <c r="E359" s="281">
        <v>3203</v>
      </c>
      <c r="F359" s="281"/>
      <c r="G359" s="281"/>
      <c r="H359" s="281"/>
      <c r="I359" s="281">
        <f t="shared" si="57"/>
        <v>3203</v>
      </c>
      <c r="J359" s="281">
        <f t="shared" si="56"/>
        <v>0</v>
      </c>
      <c r="K359" s="351" t="s">
        <v>1723</v>
      </c>
    </row>
    <row r="360" spans="1:11" ht="16.2" thickBot="1" x14ac:dyDescent="0.35">
      <c r="A360" s="315">
        <v>33</v>
      </c>
      <c r="B360" s="134" t="s">
        <v>43</v>
      </c>
      <c r="C360" s="267">
        <v>2599</v>
      </c>
      <c r="D360" s="281">
        <v>3203</v>
      </c>
      <c r="E360" s="281">
        <v>1500</v>
      </c>
      <c r="F360" s="281">
        <v>1703</v>
      </c>
      <c r="G360" s="281"/>
      <c r="H360" s="281"/>
      <c r="I360" s="281">
        <f t="shared" si="57"/>
        <v>3203</v>
      </c>
      <c r="J360" s="281">
        <f t="shared" ref="J360:J383" si="58">D360-E360-F360-G360-H360</f>
        <v>0</v>
      </c>
      <c r="K360" s="351" t="s">
        <v>1395</v>
      </c>
    </row>
    <row r="361" spans="1:11" ht="16.2" thickBot="1" x14ac:dyDescent="0.35">
      <c r="A361" s="315">
        <v>34</v>
      </c>
      <c r="B361" s="134" t="s">
        <v>263</v>
      </c>
      <c r="C361" s="267">
        <v>2600</v>
      </c>
      <c r="D361" s="281">
        <v>3203</v>
      </c>
      <c r="E361" s="281">
        <v>3000</v>
      </c>
      <c r="F361" s="281"/>
      <c r="G361" s="281"/>
      <c r="H361" s="281"/>
      <c r="I361" s="281">
        <f t="shared" si="57"/>
        <v>3000</v>
      </c>
      <c r="J361" s="281">
        <f t="shared" si="58"/>
        <v>203</v>
      </c>
      <c r="K361" s="351" t="s">
        <v>1395</v>
      </c>
    </row>
    <row r="362" spans="1:11" ht="16.2" thickBot="1" x14ac:dyDescent="0.35">
      <c r="A362" s="315">
        <v>35</v>
      </c>
      <c r="B362" s="134" t="s">
        <v>605</v>
      </c>
      <c r="C362" s="292">
        <v>2601</v>
      </c>
      <c r="D362" s="281">
        <v>3203</v>
      </c>
      <c r="E362" s="281">
        <v>2000</v>
      </c>
      <c r="F362" s="281"/>
      <c r="G362" s="281"/>
      <c r="H362" s="281"/>
      <c r="I362" s="281">
        <f t="shared" si="57"/>
        <v>2000</v>
      </c>
      <c r="J362" s="281">
        <f t="shared" si="58"/>
        <v>1203</v>
      </c>
      <c r="K362" s="351" t="s">
        <v>1395</v>
      </c>
    </row>
    <row r="363" spans="1:11" ht="16.2" thickBot="1" x14ac:dyDescent="0.35">
      <c r="A363" s="315">
        <v>36</v>
      </c>
      <c r="B363" s="134" t="s">
        <v>603</v>
      </c>
      <c r="C363" s="292">
        <v>3154</v>
      </c>
      <c r="D363" s="281">
        <v>3203</v>
      </c>
      <c r="E363" s="281"/>
      <c r="F363" s="281"/>
      <c r="G363" s="281"/>
      <c r="H363" s="281"/>
      <c r="I363" s="281">
        <f t="shared" si="57"/>
        <v>0</v>
      </c>
      <c r="J363" s="281">
        <f t="shared" si="58"/>
        <v>3203</v>
      </c>
      <c r="K363" s="351"/>
    </row>
    <row r="364" spans="1:11" ht="16.2" thickBot="1" x14ac:dyDescent="0.35">
      <c r="A364" s="315">
        <v>37</v>
      </c>
      <c r="B364" s="134" t="s">
        <v>322</v>
      </c>
      <c r="C364" s="267">
        <v>2607</v>
      </c>
      <c r="D364" s="281">
        <v>3203</v>
      </c>
      <c r="E364" s="281"/>
      <c r="F364" s="281"/>
      <c r="G364" s="281"/>
      <c r="H364" s="281"/>
      <c r="I364" s="281">
        <f t="shared" si="57"/>
        <v>0</v>
      </c>
      <c r="J364" s="281">
        <f t="shared" si="58"/>
        <v>3203</v>
      </c>
      <c r="K364" s="351"/>
    </row>
    <row r="365" spans="1:11" ht="16.2" thickBot="1" x14ac:dyDescent="0.35">
      <c r="A365" s="315">
        <v>38</v>
      </c>
      <c r="B365" s="134" t="s">
        <v>602</v>
      </c>
      <c r="C365" s="292">
        <v>3170</v>
      </c>
      <c r="D365" s="281">
        <v>3203</v>
      </c>
      <c r="E365" s="281"/>
      <c r="F365" s="281"/>
      <c r="G365" s="281"/>
      <c r="H365" s="281"/>
      <c r="I365" s="281">
        <f t="shared" si="57"/>
        <v>0</v>
      </c>
      <c r="J365" s="281">
        <f t="shared" si="58"/>
        <v>3203</v>
      </c>
      <c r="K365" s="351"/>
    </row>
    <row r="366" spans="1:11" ht="16.2" thickBot="1" x14ac:dyDescent="0.35">
      <c r="A366" s="315">
        <v>39</v>
      </c>
      <c r="B366" s="134" t="s">
        <v>44</v>
      </c>
      <c r="C366" s="267">
        <v>2604</v>
      </c>
      <c r="D366" s="281">
        <v>3203</v>
      </c>
      <c r="E366" s="281">
        <v>1503</v>
      </c>
      <c r="F366" s="281"/>
      <c r="G366" s="281"/>
      <c r="H366" s="281"/>
      <c r="I366" s="281">
        <f t="shared" si="57"/>
        <v>1503</v>
      </c>
      <c r="J366" s="281">
        <f t="shared" si="58"/>
        <v>1700</v>
      </c>
      <c r="K366" s="351" t="s">
        <v>1395</v>
      </c>
    </row>
    <row r="367" spans="1:11" ht="16.2" thickBot="1" x14ac:dyDescent="0.35">
      <c r="A367" s="549">
        <v>40</v>
      </c>
      <c r="B367" s="564" t="s">
        <v>50</v>
      </c>
      <c r="C367" s="565">
        <v>2605</v>
      </c>
      <c r="D367" s="553">
        <v>3203</v>
      </c>
      <c r="E367" s="553"/>
      <c r="F367" s="553"/>
      <c r="G367" s="553"/>
      <c r="H367" s="553"/>
      <c r="I367" s="553">
        <f t="shared" si="57"/>
        <v>0</v>
      </c>
      <c r="J367" s="553">
        <f t="shared" si="58"/>
        <v>3203</v>
      </c>
      <c r="K367" s="571" t="s">
        <v>1736</v>
      </c>
    </row>
    <row r="368" spans="1:11" ht="16.2" thickBot="1" x14ac:dyDescent="0.35">
      <c r="A368" s="315">
        <v>41</v>
      </c>
      <c r="B368" s="134" t="s">
        <v>249</v>
      </c>
      <c r="C368" s="267">
        <v>2606</v>
      </c>
      <c r="D368" s="281">
        <v>3203</v>
      </c>
      <c r="E368" s="281">
        <v>86</v>
      </c>
      <c r="F368" s="281">
        <v>920</v>
      </c>
      <c r="G368" s="281"/>
      <c r="H368" s="281"/>
      <c r="I368" s="281">
        <f t="shared" si="57"/>
        <v>1006</v>
      </c>
      <c r="J368" s="281">
        <f t="shared" si="58"/>
        <v>2197</v>
      </c>
      <c r="K368" s="351"/>
    </row>
    <row r="369" spans="1:12" ht="16.2" thickBot="1" x14ac:dyDescent="0.35">
      <c r="A369" s="315">
        <v>42</v>
      </c>
      <c r="B369" s="134" t="s">
        <v>607</v>
      </c>
      <c r="C369" s="267">
        <v>2507</v>
      </c>
      <c r="D369" s="281">
        <v>3203</v>
      </c>
      <c r="E369" s="281">
        <v>1000</v>
      </c>
      <c r="F369" s="281"/>
      <c r="G369" s="281"/>
      <c r="H369" s="281"/>
      <c r="I369" s="281">
        <f t="shared" si="57"/>
        <v>1000</v>
      </c>
      <c r="J369" s="281">
        <f t="shared" si="58"/>
        <v>2203</v>
      </c>
      <c r="K369" s="351"/>
    </row>
    <row r="370" spans="1:12" ht="16.2" thickBot="1" x14ac:dyDescent="0.35">
      <c r="A370" s="315">
        <v>43</v>
      </c>
      <c r="B370" s="134" t="s">
        <v>274</v>
      </c>
      <c r="C370" s="267">
        <v>2645</v>
      </c>
      <c r="D370" s="281">
        <v>3203</v>
      </c>
      <c r="E370" s="281"/>
      <c r="F370" s="281"/>
      <c r="G370" s="281"/>
      <c r="H370" s="281"/>
      <c r="I370" s="281">
        <f t="shared" si="57"/>
        <v>0</v>
      </c>
      <c r="J370" s="281">
        <f t="shared" si="58"/>
        <v>3203</v>
      </c>
      <c r="K370" s="351"/>
    </row>
    <row r="371" spans="1:12" ht="16.2" thickBot="1" x14ac:dyDescent="0.35">
      <c r="A371" s="315">
        <v>44</v>
      </c>
      <c r="B371" s="131" t="s">
        <v>704</v>
      </c>
      <c r="C371" s="292">
        <v>3160</v>
      </c>
      <c r="D371" s="281">
        <v>3203</v>
      </c>
      <c r="E371" s="281">
        <v>3205</v>
      </c>
      <c r="F371" s="281"/>
      <c r="G371" s="281"/>
      <c r="H371" s="281"/>
      <c r="I371" s="281">
        <f t="shared" si="57"/>
        <v>3205</v>
      </c>
      <c r="J371" s="281">
        <f t="shared" si="58"/>
        <v>-2</v>
      </c>
      <c r="K371" s="351" t="s">
        <v>1395</v>
      </c>
    </row>
    <row r="372" spans="1:12" ht="16.2" thickBot="1" x14ac:dyDescent="0.35">
      <c r="A372" s="315">
        <v>45</v>
      </c>
      <c r="B372" s="134" t="s">
        <v>273</v>
      </c>
      <c r="C372" s="267">
        <v>2657</v>
      </c>
      <c r="D372" s="281">
        <v>3203</v>
      </c>
      <c r="E372" s="281">
        <v>2000</v>
      </c>
      <c r="F372" s="281"/>
      <c r="G372" s="281"/>
      <c r="H372" s="281"/>
      <c r="I372" s="281">
        <f t="shared" si="57"/>
        <v>2000</v>
      </c>
      <c r="J372" s="281">
        <f t="shared" si="58"/>
        <v>1203</v>
      </c>
      <c r="K372" s="351"/>
      <c r="L372" s="532" t="s">
        <v>1725</v>
      </c>
    </row>
    <row r="373" spans="1:12" ht="16.2" thickBot="1" x14ac:dyDescent="0.35">
      <c r="A373" s="315">
        <v>46</v>
      </c>
      <c r="B373" s="134" t="s">
        <v>698</v>
      </c>
      <c r="C373" s="267">
        <v>2622</v>
      </c>
      <c r="D373" s="281">
        <v>3203</v>
      </c>
      <c r="E373" s="281">
        <v>2500</v>
      </c>
      <c r="F373" s="281"/>
      <c r="G373" s="281"/>
      <c r="H373" s="281"/>
      <c r="I373" s="281">
        <f t="shared" si="57"/>
        <v>2500</v>
      </c>
      <c r="J373" s="281">
        <f t="shared" si="58"/>
        <v>703</v>
      </c>
      <c r="K373" s="351"/>
    </row>
    <row r="374" spans="1:12" ht="16.2" thickBot="1" x14ac:dyDescent="0.35">
      <c r="A374" s="315">
        <v>47</v>
      </c>
      <c r="B374" s="134" t="s">
        <v>48</v>
      </c>
      <c r="C374" s="267">
        <v>2609</v>
      </c>
      <c r="D374" s="281">
        <v>3203</v>
      </c>
      <c r="E374" s="281">
        <v>2000</v>
      </c>
      <c r="F374" s="281"/>
      <c r="G374" s="281"/>
      <c r="H374" s="281"/>
      <c r="I374" s="281">
        <f t="shared" si="57"/>
        <v>2000</v>
      </c>
      <c r="J374" s="281">
        <f t="shared" si="58"/>
        <v>1203</v>
      </c>
      <c r="K374" s="351" t="s">
        <v>1395</v>
      </c>
    </row>
    <row r="375" spans="1:12" ht="16.2" thickBot="1" x14ac:dyDescent="0.35">
      <c r="A375" s="315">
        <v>48</v>
      </c>
      <c r="B375" s="134" t="s">
        <v>42</v>
      </c>
      <c r="C375" s="267">
        <v>2610</v>
      </c>
      <c r="D375" s="281">
        <v>3203</v>
      </c>
      <c r="E375" s="281">
        <v>3303</v>
      </c>
      <c r="F375" s="281"/>
      <c r="G375" s="281"/>
      <c r="H375" s="281"/>
      <c r="I375" s="281">
        <f t="shared" si="57"/>
        <v>3303</v>
      </c>
      <c r="J375" s="281">
        <f t="shared" si="58"/>
        <v>-100</v>
      </c>
      <c r="K375" s="351" t="s">
        <v>1395</v>
      </c>
    </row>
    <row r="376" spans="1:12" ht="16.2" thickBot="1" x14ac:dyDescent="0.35">
      <c r="A376" s="315">
        <v>49</v>
      </c>
      <c r="B376" s="317" t="s">
        <v>285</v>
      </c>
      <c r="C376" s="267">
        <v>2613</v>
      </c>
      <c r="D376" s="281">
        <v>3203</v>
      </c>
      <c r="E376" s="281"/>
      <c r="F376" s="281"/>
      <c r="G376" s="281"/>
      <c r="H376" s="281"/>
      <c r="I376" s="281">
        <f t="shared" si="57"/>
        <v>0</v>
      </c>
      <c r="J376" s="281">
        <f t="shared" si="58"/>
        <v>3203</v>
      </c>
      <c r="K376" s="351"/>
    </row>
    <row r="377" spans="1:12" ht="16.2" thickBot="1" x14ac:dyDescent="0.35">
      <c r="A377" s="315">
        <v>50</v>
      </c>
      <c r="B377" s="134" t="s">
        <v>915</v>
      </c>
      <c r="C377" s="267"/>
      <c r="D377" s="281">
        <v>3203</v>
      </c>
      <c r="E377" s="281"/>
      <c r="F377" s="281"/>
      <c r="G377" s="281"/>
      <c r="H377" s="281"/>
      <c r="I377" s="281">
        <f t="shared" si="57"/>
        <v>0</v>
      </c>
      <c r="J377" s="281">
        <f t="shared" si="58"/>
        <v>3203</v>
      </c>
      <c r="K377" s="351"/>
    </row>
    <row r="378" spans="1:12" ht="16.2" thickBot="1" x14ac:dyDescent="0.35">
      <c r="A378" s="315">
        <v>51</v>
      </c>
      <c r="B378" s="134" t="s">
        <v>1188</v>
      </c>
      <c r="C378" s="267">
        <v>2582</v>
      </c>
      <c r="D378" s="281">
        <v>3203</v>
      </c>
      <c r="E378" s="281"/>
      <c r="F378" s="281"/>
      <c r="G378" s="281"/>
      <c r="H378" s="281"/>
      <c r="I378" s="281">
        <f t="shared" si="57"/>
        <v>0</v>
      </c>
      <c r="J378" s="281">
        <f t="shared" si="58"/>
        <v>3203</v>
      </c>
      <c r="K378" s="351"/>
    </row>
    <row r="379" spans="1:12" ht="16.2" thickBot="1" x14ac:dyDescent="0.35">
      <c r="A379" s="315">
        <v>52</v>
      </c>
      <c r="B379" s="134" t="s">
        <v>1189</v>
      </c>
      <c r="C379" s="267">
        <v>2584</v>
      </c>
      <c r="D379" s="281">
        <v>3203</v>
      </c>
      <c r="E379" s="281"/>
      <c r="F379" s="281"/>
      <c r="G379" s="281"/>
      <c r="H379" s="281"/>
      <c r="I379" s="281">
        <f t="shared" si="57"/>
        <v>0</v>
      </c>
      <c r="J379" s="281">
        <f t="shared" si="58"/>
        <v>3203</v>
      </c>
      <c r="K379" s="351"/>
    </row>
    <row r="380" spans="1:12" ht="16.2" thickBot="1" x14ac:dyDescent="0.35">
      <c r="A380" s="315">
        <v>53</v>
      </c>
      <c r="B380" s="131" t="s">
        <v>1190</v>
      </c>
      <c r="C380" s="315">
        <v>2660</v>
      </c>
      <c r="D380" s="281">
        <v>3203</v>
      </c>
      <c r="E380" s="281"/>
      <c r="F380" s="281"/>
      <c r="G380" s="281"/>
      <c r="H380" s="281"/>
      <c r="I380" s="281">
        <f t="shared" si="57"/>
        <v>0</v>
      </c>
      <c r="J380" s="281">
        <f t="shared" si="58"/>
        <v>3203</v>
      </c>
      <c r="K380" s="351"/>
    </row>
    <row r="381" spans="1:12" ht="16.2" thickBot="1" x14ac:dyDescent="0.35">
      <c r="A381" s="315">
        <v>54</v>
      </c>
      <c r="B381" s="131" t="s">
        <v>915</v>
      </c>
      <c r="C381" s="315">
        <v>2602</v>
      </c>
      <c r="D381" s="281">
        <v>3203</v>
      </c>
      <c r="E381" s="281"/>
      <c r="F381" s="281"/>
      <c r="G381" s="281"/>
      <c r="H381" s="281"/>
      <c r="I381" s="281">
        <f t="shared" si="57"/>
        <v>0</v>
      </c>
      <c r="J381" s="281">
        <f t="shared" si="58"/>
        <v>3203</v>
      </c>
      <c r="K381" s="351"/>
    </row>
    <row r="382" spans="1:12" ht="16.2" thickBot="1" x14ac:dyDescent="0.35">
      <c r="A382" s="315">
        <v>55</v>
      </c>
      <c r="B382" s="131" t="s">
        <v>936</v>
      </c>
      <c r="C382" s="131"/>
      <c r="D382" s="281">
        <v>3203</v>
      </c>
      <c r="E382" s="281"/>
      <c r="F382" s="281"/>
      <c r="G382" s="281"/>
      <c r="H382" s="281"/>
      <c r="I382" s="281">
        <f t="shared" si="57"/>
        <v>0</v>
      </c>
      <c r="J382" s="281">
        <f t="shared" si="58"/>
        <v>3203</v>
      </c>
      <c r="K382" s="351"/>
    </row>
    <row r="383" spans="1:12" ht="16.2" thickBot="1" x14ac:dyDescent="0.35">
      <c r="A383" s="283">
        <v>56</v>
      </c>
      <c r="B383" s="282" t="s">
        <v>1191</v>
      </c>
      <c r="C383" s="282"/>
      <c r="D383" s="281">
        <v>3203</v>
      </c>
      <c r="E383" s="284"/>
      <c r="F383" s="284"/>
      <c r="G383" s="284"/>
      <c r="H383" s="284"/>
      <c r="I383" s="284">
        <f t="shared" si="57"/>
        <v>0</v>
      </c>
      <c r="J383" s="284">
        <f t="shared" si="58"/>
        <v>3203</v>
      </c>
      <c r="K383" s="352"/>
    </row>
    <row r="384" spans="1:12" ht="15.6" x14ac:dyDescent="0.3">
      <c r="A384" s="373"/>
      <c r="B384" s="187"/>
      <c r="C384" s="187"/>
      <c r="D384" s="494">
        <f>SUM(D328:D383)</f>
        <v>179368</v>
      </c>
      <c r="E384" s="494">
        <f t="shared" ref="E384:J384" si="59">SUM(E328:E383)</f>
        <v>55786</v>
      </c>
      <c r="F384" s="494">
        <f t="shared" si="59"/>
        <v>5626</v>
      </c>
      <c r="G384" s="494">
        <f t="shared" si="59"/>
        <v>0</v>
      </c>
      <c r="H384" s="494">
        <f t="shared" si="59"/>
        <v>0</v>
      </c>
      <c r="I384" s="494">
        <f t="shared" si="59"/>
        <v>61412</v>
      </c>
      <c r="J384" s="494">
        <f t="shared" si="59"/>
        <v>117956</v>
      </c>
      <c r="K384" s="148"/>
    </row>
    <row r="385" spans="1:11" ht="15.6" x14ac:dyDescent="0.3">
      <c r="A385" s="277"/>
      <c r="B385" s="188"/>
      <c r="C385" s="188"/>
      <c r="D385" s="142"/>
      <c r="E385" s="142"/>
      <c r="F385" s="142"/>
      <c r="G385" s="142"/>
      <c r="H385" s="142"/>
      <c r="I385" s="142"/>
      <c r="J385" s="142"/>
      <c r="K385" s="143"/>
    </row>
    <row r="386" spans="1:11" ht="15.6" x14ac:dyDescent="0.3">
      <c r="A386" s="280"/>
      <c r="B386" s="280"/>
      <c r="C386" s="280"/>
      <c r="D386" s="279"/>
      <c r="E386" s="279"/>
      <c r="F386" s="279"/>
      <c r="G386" s="279"/>
      <c r="H386" s="279"/>
      <c r="I386" s="279"/>
      <c r="J386" s="279"/>
      <c r="K386" s="280"/>
    </row>
    <row r="387" spans="1:11" ht="16.2" thickBot="1" x14ac:dyDescent="0.35">
      <c r="A387" s="362" t="s">
        <v>1261</v>
      </c>
      <c r="B387" s="309"/>
      <c r="C387" s="363"/>
      <c r="D387" s="363"/>
      <c r="E387" s="363"/>
      <c r="F387" s="363"/>
      <c r="G387" s="363"/>
      <c r="H387" s="363"/>
      <c r="I387" s="363"/>
      <c r="J387" s="363"/>
      <c r="K387" s="420"/>
    </row>
    <row r="388" spans="1:11" ht="27.6" thickBot="1" x14ac:dyDescent="0.35">
      <c r="A388" s="354" t="s">
        <v>0</v>
      </c>
      <c r="B388" s="295" t="s">
        <v>1</v>
      </c>
      <c r="C388" s="354" t="s">
        <v>2</v>
      </c>
      <c r="D388" s="355" t="s">
        <v>854</v>
      </c>
      <c r="E388" s="573" t="s">
        <v>855</v>
      </c>
      <c r="F388" s="574"/>
      <c r="G388" s="574"/>
      <c r="H388" s="575"/>
      <c r="I388" s="416"/>
      <c r="J388" s="357" t="s">
        <v>856</v>
      </c>
      <c r="K388" s="351"/>
    </row>
    <row r="389" spans="1:11" ht="16.2" thickBot="1" x14ac:dyDescent="0.35">
      <c r="A389" s="292">
        <v>1</v>
      </c>
      <c r="B389" s="112" t="s">
        <v>293</v>
      </c>
      <c r="C389" s="292">
        <v>1797</v>
      </c>
      <c r="D389" s="281">
        <v>2744</v>
      </c>
      <c r="E389" s="281">
        <v>1000</v>
      </c>
      <c r="F389" s="281"/>
      <c r="G389" s="281"/>
      <c r="H389" s="281"/>
      <c r="I389" s="281">
        <f t="shared" ref="I389:I399" si="60">SUM(E389:H389)</f>
        <v>1000</v>
      </c>
      <c r="J389" s="281">
        <f t="shared" ref="J389:J399" si="61">D389-E389-F389-G389-H389</f>
        <v>1744</v>
      </c>
      <c r="K389" s="351" t="s">
        <v>1518</v>
      </c>
    </row>
    <row r="390" spans="1:11" ht="16.2" thickBot="1" x14ac:dyDescent="0.35">
      <c r="A390" s="292">
        <v>2</v>
      </c>
      <c r="B390" s="131" t="s">
        <v>18</v>
      </c>
      <c r="C390" s="292">
        <v>1798</v>
      </c>
      <c r="D390" s="281">
        <v>2744</v>
      </c>
      <c r="E390" s="281">
        <v>1600</v>
      </c>
      <c r="F390" s="281">
        <v>1150</v>
      </c>
      <c r="G390" s="281"/>
      <c r="H390" s="281"/>
      <c r="I390" s="281">
        <f t="shared" si="60"/>
        <v>2750</v>
      </c>
      <c r="J390" s="281">
        <f t="shared" si="61"/>
        <v>-6</v>
      </c>
      <c r="K390" s="351" t="s">
        <v>1723</v>
      </c>
    </row>
    <row r="391" spans="1:11" ht="16.2" thickBot="1" x14ac:dyDescent="0.35">
      <c r="A391" s="292">
        <v>3</v>
      </c>
      <c r="B391" s="112" t="s">
        <v>686</v>
      </c>
      <c r="C391" s="292">
        <v>1821</v>
      </c>
      <c r="D391" s="281">
        <v>2744</v>
      </c>
      <c r="E391" s="281">
        <v>2744</v>
      </c>
      <c r="F391" s="281"/>
      <c r="G391" s="281"/>
      <c r="H391" s="281"/>
      <c r="I391" s="281">
        <f t="shared" si="60"/>
        <v>2744</v>
      </c>
      <c r="J391" s="281">
        <f t="shared" si="61"/>
        <v>0</v>
      </c>
      <c r="K391" s="351" t="s">
        <v>1723</v>
      </c>
    </row>
    <row r="392" spans="1:11" ht="16.2" thickBot="1" x14ac:dyDescent="0.35">
      <c r="A392" s="292">
        <v>4</v>
      </c>
      <c r="B392" s="112" t="s">
        <v>264</v>
      </c>
      <c r="C392" s="292">
        <v>1803</v>
      </c>
      <c r="D392" s="281">
        <v>2744</v>
      </c>
      <c r="E392" s="281">
        <v>2744</v>
      </c>
      <c r="F392" s="281"/>
      <c r="G392" s="281"/>
      <c r="H392" s="281"/>
      <c r="I392" s="281">
        <f t="shared" si="60"/>
        <v>2744</v>
      </c>
      <c r="J392" s="281">
        <f t="shared" si="61"/>
        <v>0</v>
      </c>
      <c r="K392" s="351" t="s">
        <v>1723</v>
      </c>
    </row>
    <row r="393" spans="1:11" ht="16.2" thickBot="1" x14ac:dyDescent="0.35">
      <c r="A393" s="292">
        <v>5</v>
      </c>
      <c r="B393" s="112" t="s">
        <v>962</v>
      </c>
      <c r="C393" s="292">
        <v>1820</v>
      </c>
      <c r="D393" s="281">
        <v>4604</v>
      </c>
      <c r="E393" s="281">
        <v>2744</v>
      </c>
      <c r="F393" s="281"/>
      <c r="G393" s="281"/>
      <c r="H393" s="281"/>
      <c r="I393" s="281">
        <f t="shared" si="60"/>
        <v>2744</v>
      </c>
      <c r="J393" s="281">
        <f t="shared" si="61"/>
        <v>1860</v>
      </c>
      <c r="K393" s="351" t="s">
        <v>1737</v>
      </c>
    </row>
    <row r="394" spans="1:11" ht="16.2" thickBot="1" x14ac:dyDescent="0.35">
      <c r="A394" s="292">
        <v>6</v>
      </c>
      <c r="B394" s="112" t="s">
        <v>266</v>
      </c>
      <c r="C394" s="292">
        <v>1805</v>
      </c>
      <c r="D394" s="281">
        <v>2744</v>
      </c>
      <c r="E394" s="281">
        <v>2000</v>
      </c>
      <c r="F394" s="281">
        <v>744</v>
      </c>
      <c r="G394" s="281"/>
      <c r="H394" s="281"/>
      <c r="I394" s="281">
        <f t="shared" si="60"/>
        <v>2744</v>
      </c>
      <c r="J394" s="281">
        <f t="shared" si="61"/>
        <v>0</v>
      </c>
      <c r="K394" s="377" t="s">
        <v>1395</v>
      </c>
    </row>
    <row r="395" spans="1:11" ht="16.2" thickBot="1" x14ac:dyDescent="0.35">
      <c r="A395" s="292">
        <v>7</v>
      </c>
      <c r="B395" s="131" t="s">
        <v>248</v>
      </c>
      <c r="C395" s="315">
        <v>2615</v>
      </c>
      <c r="D395" s="281">
        <v>2744</v>
      </c>
      <c r="E395" s="281">
        <v>500</v>
      </c>
      <c r="F395" s="281"/>
      <c r="G395" s="281"/>
      <c r="H395" s="281"/>
      <c r="I395" s="281">
        <f t="shared" si="60"/>
        <v>500</v>
      </c>
      <c r="J395" s="281">
        <f t="shared" si="61"/>
        <v>2244</v>
      </c>
      <c r="K395" s="351" t="s">
        <v>1395</v>
      </c>
    </row>
    <row r="396" spans="1:11" ht="16.2" thickBot="1" x14ac:dyDescent="0.35">
      <c r="A396" s="292">
        <v>8</v>
      </c>
      <c r="B396" s="112" t="s">
        <v>685</v>
      </c>
      <c r="C396" s="292">
        <v>1807</v>
      </c>
      <c r="D396" s="281">
        <v>2744</v>
      </c>
      <c r="E396" s="281">
        <v>5000</v>
      </c>
      <c r="F396" s="281">
        <v>300</v>
      </c>
      <c r="G396" s="281"/>
      <c r="H396" s="281"/>
      <c r="I396" s="281">
        <f t="shared" si="60"/>
        <v>5300</v>
      </c>
      <c r="J396" s="281">
        <f t="shared" si="61"/>
        <v>-2556</v>
      </c>
      <c r="K396" s="351" t="s">
        <v>1395</v>
      </c>
    </row>
    <row r="397" spans="1:11" ht="16.2" thickBot="1" x14ac:dyDescent="0.35">
      <c r="A397" s="292">
        <v>9</v>
      </c>
      <c r="B397" s="112" t="s">
        <v>939</v>
      </c>
      <c r="C397" s="292">
        <v>1804</v>
      </c>
      <c r="D397" s="281">
        <v>2744</v>
      </c>
      <c r="E397" s="281"/>
      <c r="F397" s="281"/>
      <c r="G397" s="281"/>
      <c r="H397" s="281"/>
      <c r="I397" s="281">
        <f t="shared" si="60"/>
        <v>0</v>
      </c>
      <c r="J397" s="281">
        <f t="shared" si="61"/>
        <v>2744</v>
      </c>
      <c r="K397" s="351"/>
    </row>
    <row r="398" spans="1:11" ht="16.2" thickBot="1" x14ac:dyDescent="0.35">
      <c r="A398" s="292">
        <v>10</v>
      </c>
      <c r="B398" s="135" t="s">
        <v>1757</v>
      </c>
      <c r="C398" s="136">
        <v>1806</v>
      </c>
      <c r="D398" s="281">
        <v>2744</v>
      </c>
      <c r="E398" s="281"/>
      <c r="F398" s="281"/>
      <c r="G398" s="281"/>
      <c r="H398" s="281"/>
      <c r="I398" s="281">
        <f t="shared" ref="I398" si="62">SUM(E398:H398)</f>
        <v>0</v>
      </c>
      <c r="J398" s="281">
        <f t="shared" ref="J398" si="63">D398-E398-F398-G398-H398</f>
        <v>2744</v>
      </c>
      <c r="K398" s="351"/>
    </row>
    <row r="399" spans="1:11" ht="16.2" thickBot="1" x14ac:dyDescent="0.35">
      <c r="A399" s="292">
        <v>11</v>
      </c>
      <c r="B399" s="131" t="s">
        <v>1192</v>
      </c>
      <c r="C399" s="292">
        <v>1799</v>
      </c>
      <c r="D399" s="281">
        <v>2744</v>
      </c>
      <c r="E399" s="284">
        <v>1600</v>
      </c>
      <c r="F399" s="284">
        <v>1144</v>
      </c>
      <c r="G399" s="284"/>
      <c r="H399" s="284"/>
      <c r="I399" s="281">
        <f t="shared" si="60"/>
        <v>2744</v>
      </c>
      <c r="J399" s="281">
        <f t="shared" si="61"/>
        <v>0</v>
      </c>
      <c r="K399" s="351" t="s">
        <v>1723</v>
      </c>
    </row>
    <row r="400" spans="1:11" ht="16.2" thickBot="1" x14ac:dyDescent="0.35">
      <c r="A400" s="292">
        <v>12</v>
      </c>
      <c r="B400" s="135" t="s">
        <v>1193</v>
      </c>
      <c r="C400" s="316"/>
      <c r="D400" s="540">
        <v>2744</v>
      </c>
      <c r="E400" s="271"/>
      <c r="F400" s="271"/>
      <c r="G400" s="271"/>
      <c r="H400" s="271"/>
      <c r="I400" s="541">
        <f t="shared" ref="I400:I401" si="64">SUM(E400:H400)</f>
        <v>0</v>
      </c>
      <c r="J400" s="281">
        <f t="shared" ref="J400:J401" si="65">D400-E400-F400-G400-H400</f>
        <v>2744</v>
      </c>
      <c r="K400" s="352"/>
    </row>
    <row r="401" spans="1:11" ht="16.2" thickBot="1" x14ac:dyDescent="0.35">
      <c r="A401" s="292">
        <v>13</v>
      </c>
      <c r="B401" s="112" t="s">
        <v>1728</v>
      </c>
      <c r="C401" s="9">
        <v>1093</v>
      </c>
      <c r="D401" s="540">
        <v>2744</v>
      </c>
      <c r="E401" s="271"/>
      <c r="F401" s="271"/>
      <c r="G401" s="271"/>
      <c r="H401" s="271"/>
      <c r="I401" s="541">
        <f t="shared" si="64"/>
        <v>0</v>
      </c>
      <c r="J401" s="281">
        <f t="shared" si="65"/>
        <v>2744</v>
      </c>
      <c r="K401" s="143"/>
    </row>
    <row r="402" spans="1:11" ht="15.6" x14ac:dyDescent="0.3">
      <c r="A402" s="145"/>
      <c r="B402" s="435"/>
      <c r="C402" s="145"/>
      <c r="D402" s="494">
        <f>SUM(D389:D400)</f>
        <v>34788</v>
      </c>
      <c r="E402" s="494">
        <f t="shared" ref="E402:J402" si="66">SUM(E389:E400)</f>
        <v>19932</v>
      </c>
      <c r="F402" s="494">
        <f t="shared" si="66"/>
        <v>3338</v>
      </c>
      <c r="G402" s="494">
        <f t="shared" si="66"/>
        <v>0</v>
      </c>
      <c r="H402" s="494">
        <f t="shared" si="66"/>
        <v>0</v>
      </c>
      <c r="I402" s="494">
        <f t="shared" si="66"/>
        <v>23270</v>
      </c>
      <c r="J402" s="494">
        <f t="shared" si="66"/>
        <v>11518</v>
      </c>
      <c r="K402" s="148"/>
    </row>
    <row r="403" spans="1:11" ht="15.6" x14ac:dyDescent="0.3">
      <c r="A403" s="141"/>
      <c r="B403" s="436"/>
      <c r="C403" s="141"/>
      <c r="D403" s="142"/>
      <c r="E403" s="142"/>
      <c r="F403" s="142"/>
      <c r="G403" s="142"/>
      <c r="H403" s="142"/>
      <c r="I403" s="142"/>
      <c r="J403" s="142"/>
      <c r="K403" s="143"/>
    </row>
    <row r="404" spans="1:11" ht="15.6" x14ac:dyDescent="0.3">
      <c r="A404" s="280"/>
      <c r="B404" s="280"/>
      <c r="C404" s="280"/>
      <c r="D404" s="279"/>
      <c r="E404" s="279"/>
      <c r="F404" s="279"/>
      <c r="G404" s="279"/>
      <c r="H404" s="279"/>
      <c r="I404" s="279"/>
      <c r="J404" s="279"/>
      <c r="K404" s="280"/>
    </row>
    <row r="405" spans="1:11" ht="16.2" thickBot="1" x14ac:dyDescent="0.35">
      <c r="A405" s="362" t="s">
        <v>19</v>
      </c>
      <c r="B405" s="309"/>
      <c r="C405" s="363"/>
      <c r="D405" s="363"/>
      <c r="E405" s="363"/>
      <c r="F405" s="363"/>
      <c r="G405" s="363"/>
      <c r="H405" s="363"/>
      <c r="I405" s="363"/>
      <c r="J405" s="363"/>
      <c r="K405" s="420"/>
    </row>
    <row r="406" spans="1:11" ht="27.6" thickBot="1" x14ac:dyDescent="0.35">
      <c r="A406" s="354" t="s">
        <v>0</v>
      </c>
      <c r="B406" s="295" t="s">
        <v>1</v>
      </c>
      <c r="C406" s="354" t="s">
        <v>2</v>
      </c>
      <c r="D406" s="355" t="s">
        <v>854</v>
      </c>
      <c r="E406" s="573" t="s">
        <v>855</v>
      </c>
      <c r="F406" s="574"/>
      <c r="G406" s="574"/>
      <c r="H406" s="575"/>
      <c r="I406" s="416"/>
      <c r="J406" s="357" t="s">
        <v>856</v>
      </c>
      <c r="K406" s="351"/>
    </row>
    <row r="407" spans="1:11" ht="16.2" thickBot="1" x14ac:dyDescent="0.35">
      <c r="A407" s="292">
        <v>1</v>
      </c>
      <c r="B407" s="112" t="s">
        <v>1364</v>
      </c>
      <c r="C407" s="292"/>
      <c r="D407" s="281">
        <v>6672</v>
      </c>
      <c r="E407" s="281">
        <v>2040</v>
      </c>
      <c r="F407" s="281">
        <v>4632</v>
      </c>
      <c r="G407" s="281"/>
      <c r="H407" s="281"/>
      <c r="I407" s="281">
        <f>SUM(E407:H407)</f>
        <v>6672</v>
      </c>
      <c r="J407" s="281">
        <f t="shared" ref="J407:J410" si="67">D407-E407-F407-G407-H407</f>
        <v>0</v>
      </c>
      <c r="K407" s="351" t="s">
        <v>1395</v>
      </c>
    </row>
    <row r="408" spans="1:11" ht="16.2" thickBot="1" x14ac:dyDescent="0.35">
      <c r="A408" s="292">
        <v>2</v>
      </c>
      <c r="B408" s="112" t="s">
        <v>1396</v>
      </c>
      <c r="C408" s="292"/>
      <c r="D408" s="281">
        <v>6672</v>
      </c>
      <c r="E408" s="281">
        <v>2040</v>
      </c>
      <c r="F408" s="281">
        <v>2500</v>
      </c>
      <c r="G408" s="281"/>
      <c r="H408" s="281"/>
      <c r="I408" s="281">
        <f t="shared" ref="I408:I410" si="68">SUM(E408:H408)</f>
        <v>4540</v>
      </c>
      <c r="J408" s="281">
        <f t="shared" si="67"/>
        <v>2132</v>
      </c>
      <c r="K408" s="351" t="s">
        <v>1395</v>
      </c>
    </row>
    <row r="409" spans="1:11" ht="16.2" thickBot="1" x14ac:dyDescent="0.35">
      <c r="A409" s="292">
        <v>3</v>
      </c>
      <c r="B409" s="112" t="s">
        <v>1499</v>
      </c>
      <c r="C409" s="292"/>
      <c r="D409" s="281">
        <v>6672</v>
      </c>
      <c r="E409" s="281">
        <v>2040</v>
      </c>
      <c r="F409" s="281"/>
      <c r="G409" s="281"/>
      <c r="H409" s="281"/>
      <c r="I409" s="281">
        <f t="shared" si="68"/>
        <v>2040</v>
      </c>
      <c r="J409" s="281">
        <f t="shared" si="67"/>
        <v>4632</v>
      </c>
      <c r="K409" s="351"/>
    </row>
    <row r="410" spans="1:11" ht="16.2" thickBot="1" x14ac:dyDescent="0.35">
      <c r="A410" s="292">
        <v>4</v>
      </c>
      <c r="B410" s="112" t="s">
        <v>1580</v>
      </c>
      <c r="C410" s="292"/>
      <c r="D410" s="281">
        <v>6672</v>
      </c>
      <c r="E410" s="281">
        <v>3000</v>
      </c>
      <c r="F410" s="281"/>
      <c r="G410" s="281"/>
      <c r="H410" s="281"/>
      <c r="I410" s="281">
        <f t="shared" si="68"/>
        <v>3000</v>
      </c>
      <c r="J410" s="281">
        <f t="shared" si="67"/>
        <v>3672</v>
      </c>
      <c r="K410" s="377" t="s">
        <v>1395</v>
      </c>
    </row>
    <row r="411" spans="1:11" ht="15.6" x14ac:dyDescent="0.3">
      <c r="A411" s="145"/>
      <c r="B411" s="146"/>
      <c r="C411" s="145"/>
      <c r="D411" s="494">
        <f t="shared" ref="D411:J411" si="69">SUM(D407:D410)</f>
        <v>26688</v>
      </c>
      <c r="E411" s="494">
        <f t="shared" si="69"/>
        <v>9120</v>
      </c>
      <c r="F411" s="494">
        <f t="shared" si="69"/>
        <v>7132</v>
      </c>
      <c r="G411" s="494">
        <f t="shared" si="69"/>
        <v>0</v>
      </c>
      <c r="H411" s="494">
        <f t="shared" si="69"/>
        <v>0</v>
      </c>
      <c r="I411" s="494">
        <f t="shared" si="69"/>
        <v>16252</v>
      </c>
      <c r="J411" s="494">
        <f t="shared" si="69"/>
        <v>10436</v>
      </c>
      <c r="K411" s="148"/>
    </row>
    <row r="412" spans="1:11" ht="15.6" x14ac:dyDescent="0.3">
      <c r="A412" s="141"/>
      <c r="B412" s="144"/>
      <c r="C412" s="141"/>
      <c r="D412" s="142"/>
      <c r="E412" s="142"/>
      <c r="F412" s="142"/>
      <c r="G412" s="142"/>
      <c r="H412" s="142"/>
      <c r="I412" s="142"/>
      <c r="J412" s="142"/>
      <c r="K412" s="143"/>
    </row>
    <row r="413" spans="1:11" ht="15.6" x14ac:dyDescent="0.3">
      <c r="A413" s="361"/>
      <c r="B413" s="303"/>
      <c r="C413" s="361"/>
      <c r="D413" s="279"/>
      <c r="E413" s="279"/>
      <c r="F413" s="279"/>
      <c r="G413" s="279"/>
      <c r="H413" s="279"/>
      <c r="I413" s="279"/>
      <c r="J413" s="279"/>
      <c r="K413" s="280"/>
    </row>
    <row r="414" spans="1:11" ht="16.2" thickBot="1" x14ac:dyDescent="0.35">
      <c r="A414" s="362" t="s">
        <v>1262</v>
      </c>
      <c r="B414" s="309"/>
      <c r="C414" s="363"/>
      <c r="D414" s="363"/>
      <c r="E414" s="363"/>
      <c r="F414" s="363"/>
      <c r="G414" s="363"/>
      <c r="H414" s="363"/>
      <c r="I414" s="363"/>
      <c r="J414" s="363"/>
      <c r="K414" s="420"/>
    </row>
    <row r="415" spans="1:11" ht="27.6" thickBot="1" x14ac:dyDescent="0.35">
      <c r="A415" s="354" t="s">
        <v>0</v>
      </c>
      <c r="B415" s="295" t="s">
        <v>1</v>
      </c>
      <c r="C415" s="354" t="s">
        <v>2</v>
      </c>
      <c r="D415" s="355" t="s">
        <v>854</v>
      </c>
      <c r="E415" s="573" t="s">
        <v>855</v>
      </c>
      <c r="F415" s="574"/>
      <c r="G415" s="574"/>
      <c r="H415" s="575"/>
      <c r="I415" s="416"/>
      <c r="J415" s="357" t="s">
        <v>856</v>
      </c>
      <c r="K415" s="295" t="s">
        <v>3</v>
      </c>
    </row>
    <row r="416" spans="1:11" ht="16.2" thickBot="1" x14ac:dyDescent="0.35">
      <c r="A416" s="315">
        <v>1</v>
      </c>
      <c r="B416" s="112" t="s">
        <v>615</v>
      </c>
      <c r="C416" s="292">
        <v>3175</v>
      </c>
      <c r="D416" s="281">
        <v>3538</v>
      </c>
      <c r="E416" s="281">
        <v>2000</v>
      </c>
      <c r="F416" s="281"/>
      <c r="G416" s="281"/>
      <c r="H416" s="281"/>
      <c r="I416" s="281">
        <f>SUM(E416:H416)</f>
        <v>2000</v>
      </c>
      <c r="J416" s="281">
        <f t="shared" ref="J416:J430" si="70">D416-E416-F416-G416-H416</f>
        <v>1538</v>
      </c>
      <c r="K416" s="281"/>
    </row>
    <row r="417" spans="1:13" ht="16.2" thickBot="1" x14ac:dyDescent="0.35">
      <c r="A417" s="315">
        <v>2</v>
      </c>
      <c r="B417" s="112" t="s">
        <v>651</v>
      </c>
      <c r="C417" s="292">
        <v>1823</v>
      </c>
      <c r="D417" s="281">
        <v>3538</v>
      </c>
      <c r="E417" s="281"/>
      <c r="F417" s="281"/>
      <c r="G417" s="281"/>
      <c r="H417" s="281"/>
      <c r="I417" s="281">
        <f t="shared" ref="I417:I430" si="71">SUM(E417:H417)</f>
        <v>0</v>
      </c>
      <c r="J417" s="281">
        <f t="shared" si="70"/>
        <v>3538</v>
      </c>
      <c r="K417" s="281"/>
    </row>
    <row r="418" spans="1:13" ht="16.2" thickBot="1" x14ac:dyDescent="0.35">
      <c r="A418" s="315">
        <v>3</v>
      </c>
      <c r="B418" s="112" t="s">
        <v>614</v>
      </c>
      <c r="C418" s="292">
        <v>3176</v>
      </c>
      <c r="D418" s="281">
        <v>3538</v>
      </c>
      <c r="E418" s="281">
        <v>1500</v>
      </c>
      <c r="F418" s="281"/>
      <c r="G418" s="281"/>
      <c r="H418" s="281"/>
      <c r="I418" s="281">
        <f t="shared" si="71"/>
        <v>1500</v>
      </c>
      <c r="J418" s="281">
        <f t="shared" si="70"/>
        <v>2038</v>
      </c>
      <c r="K418" s="281" t="s">
        <v>1395</v>
      </c>
    </row>
    <row r="419" spans="1:13" ht="16.2" thickBot="1" x14ac:dyDescent="0.35">
      <c r="A419" s="315">
        <v>4</v>
      </c>
      <c r="B419" s="131" t="s">
        <v>610</v>
      </c>
      <c r="C419" s="315">
        <v>3172</v>
      </c>
      <c r="D419" s="281">
        <v>3538</v>
      </c>
      <c r="E419" s="281">
        <v>2000</v>
      </c>
      <c r="F419" s="281">
        <v>1538</v>
      </c>
      <c r="G419" s="281"/>
      <c r="H419" s="281"/>
      <c r="I419" s="281">
        <f t="shared" si="71"/>
        <v>3538</v>
      </c>
      <c r="J419" s="281">
        <f t="shared" si="70"/>
        <v>0</v>
      </c>
      <c r="K419" s="281"/>
    </row>
    <row r="420" spans="1:13" ht="16.2" thickBot="1" x14ac:dyDescent="0.35">
      <c r="A420" s="315">
        <v>5</v>
      </c>
      <c r="B420" s="131" t="s">
        <v>612</v>
      </c>
      <c r="C420" s="315">
        <v>3178</v>
      </c>
      <c r="D420" s="281">
        <v>3538</v>
      </c>
      <c r="E420" s="281">
        <v>2535</v>
      </c>
      <c r="F420" s="281">
        <v>1000</v>
      </c>
      <c r="G420" s="281"/>
      <c r="H420" s="281"/>
      <c r="I420" s="281">
        <f t="shared" si="71"/>
        <v>3535</v>
      </c>
      <c r="J420" s="281">
        <f t="shared" si="70"/>
        <v>3</v>
      </c>
      <c r="K420" s="281" t="s">
        <v>1395</v>
      </c>
    </row>
    <row r="421" spans="1:13" ht="16.2" thickBot="1" x14ac:dyDescent="0.35">
      <c r="A421" s="315">
        <v>6</v>
      </c>
      <c r="B421" s="133" t="s">
        <v>617</v>
      </c>
      <c r="C421" s="292">
        <v>3179</v>
      </c>
      <c r="D421" s="281">
        <v>3538</v>
      </c>
      <c r="E421" s="281">
        <v>3535</v>
      </c>
      <c r="F421" s="281">
        <v>3</v>
      </c>
      <c r="G421" s="281"/>
      <c r="H421" s="281"/>
      <c r="I421" s="281">
        <f t="shared" si="71"/>
        <v>3538</v>
      </c>
      <c r="J421" s="281">
        <f t="shared" si="70"/>
        <v>0</v>
      </c>
      <c r="K421" s="281" t="s">
        <v>1723</v>
      </c>
    </row>
    <row r="422" spans="1:13" ht="16.2" thickBot="1" x14ac:dyDescent="0.35">
      <c r="A422" s="315">
        <v>7</v>
      </c>
      <c r="B422" s="112" t="s">
        <v>609</v>
      </c>
      <c r="C422" s="292"/>
      <c r="D422" s="281">
        <v>3538</v>
      </c>
      <c r="E422" s="281">
        <v>2538</v>
      </c>
      <c r="F422" s="281">
        <v>1000</v>
      </c>
      <c r="G422" s="281"/>
      <c r="H422" s="281"/>
      <c r="I422" s="281">
        <f t="shared" si="71"/>
        <v>3538</v>
      </c>
      <c r="J422" s="281">
        <f t="shared" si="70"/>
        <v>0</v>
      </c>
      <c r="K422" s="351" t="s">
        <v>1395</v>
      </c>
    </row>
    <row r="423" spans="1:13" ht="16.2" thickBot="1" x14ac:dyDescent="0.35">
      <c r="A423" s="315">
        <v>8</v>
      </c>
      <c r="B423" s="131" t="s">
        <v>608</v>
      </c>
      <c r="C423" s="315"/>
      <c r="D423" s="281">
        <v>3538</v>
      </c>
      <c r="E423" s="281">
        <v>1500</v>
      </c>
      <c r="F423" s="281"/>
      <c r="G423" s="281"/>
      <c r="H423" s="281"/>
      <c r="I423" s="281">
        <f t="shared" si="71"/>
        <v>1500</v>
      </c>
      <c r="J423" s="281">
        <f t="shared" si="70"/>
        <v>2038</v>
      </c>
      <c r="K423" s="351" t="s">
        <v>1395</v>
      </c>
    </row>
    <row r="424" spans="1:13" ht="16.2" thickBot="1" x14ac:dyDescent="0.35">
      <c r="A424" s="315">
        <v>9</v>
      </c>
      <c r="B424" s="112" t="s">
        <v>613</v>
      </c>
      <c r="C424" s="292">
        <v>3186</v>
      </c>
      <c r="D424" s="281">
        <v>3538</v>
      </c>
      <c r="E424" s="281">
        <v>1500</v>
      </c>
      <c r="F424" s="281">
        <v>1000</v>
      </c>
      <c r="G424" s="281">
        <v>1040</v>
      </c>
      <c r="H424" s="281"/>
      <c r="I424" s="281">
        <f t="shared" si="71"/>
        <v>3540</v>
      </c>
      <c r="J424" s="281">
        <f t="shared" si="70"/>
        <v>-2</v>
      </c>
      <c r="K424" s="351" t="s">
        <v>1395</v>
      </c>
      <c r="L424" s="294" t="s">
        <v>1328</v>
      </c>
      <c r="M424" s="294" t="s">
        <v>1741</v>
      </c>
    </row>
    <row r="425" spans="1:13" ht="16.2" thickBot="1" x14ac:dyDescent="0.35">
      <c r="A425" s="315">
        <v>10</v>
      </c>
      <c r="B425" s="112" t="s">
        <v>616</v>
      </c>
      <c r="C425" s="292">
        <v>3184</v>
      </c>
      <c r="D425" s="281">
        <v>3538</v>
      </c>
      <c r="E425" s="281">
        <v>3538</v>
      </c>
      <c r="F425" s="281"/>
      <c r="G425" s="281"/>
      <c r="H425" s="281"/>
      <c r="I425" s="281">
        <f t="shared" si="71"/>
        <v>3538</v>
      </c>
      <c r="J425" s="281">
        <f t="shared" si="70"/>
        <v>0</v>
      </c>
      <c r="K425" s="351" t="s">
        <v>1395</v>
      </c>
    </row>
    <row r="426" spans="1:13" ht="16.2" thickBot="1" x14ac:dyDescent="0.35">
      <c r="A426" s="315">
        <v>11</v>
      </c>
      <c r="B426" s="131" t="s">
        <v>611</v>
      </c>
      <c r="C426" s="315">
        <v>3187</v>
      </c>
      <c r="D426" s="281">
        <v>3538</v>
      </c>
      <c r="E426" s="281"/>
      <c r="F426" s="281"/>
      <c r="G426" s="281"/>
      <c r="H426" s="281"/>
      <c r="I426" s="281">
        <f t="shared" si="71"/>
        <v>0</v>
      </c>
      <c r="J426" s="281">
        <f t="shared" si="70"/>
        <v>3538</v>
      </c>
      <c r="K426" s="351"/>
      <c r="L426" s="294" t="s">
        <v>1725</v>
      </c>
    </row>
    <row r="427" spans="1:13" ht="16.2" thickBot="1" x14ac:dyDescent="0.35">
      <c r="A427" s="315">
        <v>12</v>
      </c>
      <c r="B427" s="112" t="s">
        <v>924</v>
      </c>
      <c r="C427" s="267">
        <v>3191</v>
      </c>
      <c r="D427" s="281">
        <v>3538</v>
      </c>
      <c r="E427" s="281"/>
      <c r="F427" s="281"/>
      <c r="G427" s="281"/>
      <c r="H427" s="281"/>
      <c r="I427" s="281">
        <f t="shared" si="71"/>
        <v>0</v>
      </c>
      <c r="J427" s="281">
        <f t="shared" si="70"/>
        <v>3538</v>
      </c>
      <c r="K427" s="351"/>
    </row>
    <row r="428" spans="1:13" ht="16.2" thickBot="1" x14ac:dyDescent="0.35">
      <c r="A428" s="315">
        <v>13</v>
      </c>
      <c r="B428" s="112" t="s">
        <v>1183</v>
      </c>
      <c r="C428" s="292">
        <v>3190</v>
      </c>
      <c r="D428" s="281">
        <v>3538</v>
      </c>
      <c r="E428" s="281"/>
      <c r="F428" s="281"/>
      <c r="G428" s="281"/>
      <c r="H428" s="281"/>
      <c r="I428" s="281">
        <f t="shared" si="71"/>
        <v>0</v>
      </c>
      <c r="J428" s="281">
        <f t="shared" si="70"/>
        <v>3538</v>
      </c>
      <c r="K428" s="351"/>
    </row>
    <row r="429" spans="1:13" ht="16.2" thickBot="1" x14ac:dyDescent="0.35">
      <c r="A429" s="283">
        <v>14</v>
      </c>
      <c r="B429" s="282" t="s">
        <v>1184</v>
      </c>
      <c r="C429" s="282">
        <v>3178</v>
      </c>
      <c r="D429" s="281">
        <v>3538</v>
      </c>
      <c r="E429" s="284"/>
      <c r="F429" s="284"/>
      <c r="G429" s="284"/>
      <c r="H429" s="284"/>
      <c r="I429" s="284">
        <f t="shared" si="71"/>
        <v>0</v>
      </c>
      <c r="J429" s="284">
        <f t="shared" si="70"/>
        <v>3538</v>
      </c>
      <c r="K429" s="352"/>
    </row>
    <row r="430" spans="1:13" ht="16.2" thickBot="1" x14ac:dyDescent="0.35">
      <c r="A430" s="315">
        <v>15</v>
      </c>
      <c r="B430" s="282" t="s">
        <v>633</v>
      </c>
      <c r="C430" s="81">
        <v>2623</v>
      </c>
      <c r="D430" s="540">
        <v>3538</v>
      </c>
      <c r="E430" s="271">
        <v>1500</v>
      </c>
      <c r="F430" s="271">
        <v>2035</v>
      </c>
      <c r="G430" s="271">
        <v>3</v>
      </c>
      <c r="H430" s="271"/>
      <c r="I430" s="271">
        <f t="shared" si="71"/>
        <v>3538</v>
      </c>
      <c r="J430" s="271">
        <f t="shared" si="70"/>
        <v>0</v>
      </c>
      <c r="K430" s="541" t="s">
        <v>1395</v>
      </c>
    </row>
    <row r="431" spans="1:13" ht="16.2" thickBot="1" x14ac:dyDescent="0.35">
      <c r="A431" s="283">
        <v>16</v>
      </c>
      <c r="B431" s="131" t="s">
        <v>634</v>
      </c>
      <c r="C431" s="292">
        <v>2635</v>
      </c>
      <c r="D431" s="540">
        <v>3538</v>
      </c>
      <c r="E431" s="271">
        <v>1700</v>
      </c>
      <c r="F431" s="271">
        <v>1835</v>
      </c>
      <c r="G431" s="271"/>
      <c r="H431" s="271"/>
      <c r="I431" s="271"/>
      <c r="J431" s="271"/>
      <c r="K431" s="142"/>
    </row>
    <row r="432" spans="1:13" ht="15.6" x14ac:dyDescent="0.3">
      <c r="A432" s="143"/>
      <c r="B432" s="188"/>
      <c r="C432" s="188"/>
      <c r="D432" s="495">
        <f>SUM(D416:D430)</f>
        <v>53070</v>
      </c>
      <c r="E432" s="495">
        <f t="shared" ref="E432:J432" si="72">SUM(E416:E430)</f>
        <v>22146</v>
      </c>
      <c r="F432" s="495">
        <f t="shared" si="72"/>
        <v>6576</v>
      </c>
      <c r="G432" s="495">
        <f t="shared" si="72"/>
        <v>1043</v>
      </c>
      <c r="H432" s="495">
        <f t="shared" si="72"/>
        <v>0</v>
      </c>
      <c r="I432" s="495">
        <f t="shared" si="72"/>
        <v>29765</v>
      </c>
      <c r="J432" s="495">
        <f t="shared" si="72"/>
        <v>23305</v>
      </c>
      <c r="K432" s="143"/>
    </row>
    <row r="433" spans="1:11" ht="15.6" x14ac:dyDescent="0.3">
      <c r="A433" s="280"/>
      <c r="B433" s="189"/>
      <c r="C433" s="189"/>
      <c r="D433" s="279"/>
      <c r="E433" s="279"/>
      <c r="F433" s="279"/>
      <c r="G433" s="279"/>
      <c r="H433" s="279"/>
      <c r="I433" s="279"/>
      <c r="J433" s="279"/>
      <c r="K433" s="280"/>
    </row>
    <row r="434" spans="1:11" ht="16.2" thickBot="1" x14ac:dyDescent="0.35">
      <c r="A434" s="362" t="s">
        <v>1263</v>
      </c>
      <c r="B434" s="309"/>
      <c r="C434" s="363"/>
      <c r="D434" s="363"/>
      <c r="E434" s="363"/>
      <c r="F434" s="363"/>
      <c r="G434" s="363"/>
      <c r="H434" s="363"/>
      <c r="I434" s="363"/>
      <c r="J434" s="363"/>
      <c r="K434" s="420"/>
    </row>
    <row r="435" spans="1:11" ht="27.6" thickBot="1" x14ac:dyDescent="0.35">
      <c r="A435" s="354" t="s">
        <v>0</v>
      </c>
      <c r="B435" s="295" t="s">
        <v>1</v>
      </c>
      <c r="C435" s="354" t="s">
        <v>2</v>
      </c>
      <c r="D435" s="355" t="s">
        <v>854</v>
      </c>
      <c r="E435" s="573" t="s">
        <v>855</v>
      </c>
      <c r="F435" s="574"/>
      <c r="G435" s="574"/>
      <c r="H435" s="575"/>
      <c r="I435" s="416"/>
      <c r="J435" s="357" t="s">
        <v>856</v>
      </c>
      <c r="K435" s="295" t="s">
        <v>3</v>
      </c>
    </row>
    <row r="436" spans="1:11" ht="16.2" thickBot="1" x14ac:dyDescent="0.35">
      <c r="A436" s="292">
        <v>1</v>
      </c>
      <c r="B436" s="112" t="s">
        <v>87</v>
      </c>
      <c r="C436" s="292">
        <v>2623</v>
      </c>
      <c r="D436" s="281">
        <v>3203</v>
      </c>
      <c r="E436" s="281">
        <v>1803</v>
      </c>
      <c r="F436" s="281"/>
      <c r="G436" s="281"/>
      <c r="H436" s="281"/>
      <c r="I436" s="281">
        <f>SUM(E436:H436)</f>
        <v>1803</v>
      </c>
      <c r="J436" s="281">
        <f t="shared" ref="J436:J443" si="73">D436-E436-F436-G436-H436</f>
        <v>1400</v>
      </c>
      <c r="K436" s="281"/>
    </row>
    <row r="437" spans="1:11" ht="16.2" thickBot="1" x14ac:dyDescent="0.35">
      <c r="A437" s="292">
        <v>2</v>
      </c>
      <c r="B437" s="112" t="s">
        <v>620</v>
      </c>
      <c r="C437" s="292">
        <v>2625</v>
      </c>
      <c r="D437" s="281">
        <v>3203</v>
      </c>
      <c r="E437" s="281"/>
      <c r="F437" s="281"/>
      <c r="G437" s="281"/>
      <c r="H437" s="281"/>
      <c r="I437" s="281">
        <f t="shared" ref="I437:I443" si="74">SUM(E437:H437)</f>
        <v>0</v>
      </c>
      <c r="J437" s="281">
        <f t="shared" si="73"/>
        <v>3203</v>
      </c>
      <c r="K437" s="281"/>
    </row>
    <row r="438" spans="1:11" ht="16.2" thickBot="1" x14ac:dyDescent="0.35">
      <c r="A438" s="292">
        <v>3</v>
      </c>
      <c r="B438" s="112" t="s">
        <v>281</v>
      </c>
      <c r="C438" s="292">
        <v>2627</v>
      </c>
      <c r="D438" s="281">
        <v>3203</v>
      </c>
      <c r="E438" s="281">
        <v>2500</v>
      </c>
      <c r="F438" s="281"/>
      <c r="G438" s="281"/>
      <c r="H438" s="281"/>
      <c r="I438" s="281">
        <f t="shared" si="74"/>
        <v>2500</v>
      </c>
      <c r="J438" s="281">
        <f t="shared" si="73"/>
        <v>703</v>
      </c>
      <c r="K438" s="281" t="s">
        <v>1378</v>
      </c>
    </row>
    <row r="439" spans="1:11" ht="16.2" thickBot="1" x14ac:dyDescent="0.35">
      <c r="A439" s="292">
        <v>4</v>
      </c>
      <c r="B439" s="112" t="s">
        <v>267</v>
      </c>
      <c r="C439" s="292">
        <v>2628</v>
      </c>
      <c r="D439" s="281">
        <v>3203</v>
      </c>
      <c r="E439" s="281">
        <v>1500</v>
      </c>
      <c r="F439" s="281"/>
      <c r="G439" s="281"/>
      <c r="H439" s="281"/>
      <c r="I439" s="281">
        <f t="shared" si="74"/>
        <v>1500</v>
      </c>
      <c r="J439" s="281">
        <f t="shared" si="73"/>
        <v>1703</v>
      </c>
      <c r="K439" s="281" t="s">
        <v>1378</v>
      </c>
    </row>
    <row r="440" spans="1:11" ht="16.2" thickBot="1" x14ac:dyDescent="0.35">
      <c r="A440" s="292">
        <v>5</v>
      </c>
      <c r="B440" s="112" t="s">
        <v>619</v>
      </c>
      <c r="C440" s="292">
        <v>2636</v>
      </c>
      <c r="D440" s="281">
        <v>3203</v>
      </c>
      <c r="E440" s="281">
        <v>3203</v>
      </c>
      <c r="F440" s="281"/>
      <c r="G440" s="281"/>
      <c r="H440" s="281"/>
      <c r="I440" s="281">
        <f t="shared" si="74"/>
        <v>3203</v>
      </c>
      <c r="J440" s="281">
        <f t="shared" si="73"/>
        <v>0</v>
      </c>
      <c r="K440" s="358" t="s">
        <v>1378</v>
      </c>
    </row>
    <row r="441" spans="1:11" ht="16.2" thickBot="1" x14ac:dyDescent="0.35">
      <c r="A441" s="292">
        <v>6</v>
      </c>
      <c r="B441" s="112" t="s">
        <v>618</v>
      </c>
      <c r="C441" s="292">
        <v>2630</v>
      </c>
      <c r="D441" s="281">
        <v>3203</v>
      </c>
      <c r="E441" s="281"/>
      <c r="F441" s="281"/>
      <c r="G441" s="281"/>
      <c r="H441" s="281"/>
      <c r="I441" s="281">
        <f t="shared" si="74"/>
        <v>0</v>
      </c>
      <c r="J441" s="281">
        <f t="shared" si="73"/>
        <v>3203</v>
      </c>
      <c r="K441" s="281"/>
    </row>
    <row r="442" spans="1:11" ht="16.2" thickBot="1" x14ac:dyDescent="0.35">
      <c r="A442" s="292">
        <v>7</v>
      </c>
      <c r="B442" s="112" t="s">
        <v>268</v>
      </c>
      <c r="C442" s="292">
        <v>2633</v>
      </c>
      <c r="D442" s="281">
        <v>3203</v>
      </c>
      <c r="E442" s="281"/>
      <c r="F442" s="281"/>
      <c r="G442" s="281"/>
      <c r="H442" s="281"/>
      <c r="I442" s="281">
        <f t="shared" si="74"/>
        <v>0</v>
      </c>
      <c r="J442" s="281">
        <f t="shared" si="73"/>
        <v>3203</v>
      </c>
      <c r="K442" s="13" t="s">
        <v>1653</v>
      </c>
    </row>
    <row r="443" spans="1:11" ht="16.2" thickBot="1" x14ac:dyDescent="0.35">
      <c r="A443" s="292">
        <v>8</v>
      </c>
      <c r="B443" s="135" t="s">
        <v>938</v>
      </c>
      <c r="C443" s="316">
        <v>2631</v>
      </c>
      <c r="D443" s="281">
        <v>3203</v>
      </c>
      <c r="E443" s="284">
        <v>1800</v>
      </c>
      <c r="F443" s="284"/>
      <c r="G443" s="284"/>
      <c r="H443" s="284"/>
      <c r="I443" s="284">
        <f t="shared" si="74"/>
        <v>1800</v>
      </c>
      <c r="J443" s="284">
        <f t="shared" si="73"/>
        <v>1403</v>
      </c>
      <c r="K443" s="352"/>
    </row>
    <row r="444" spans="1:11" ht="15.6" x14ac:dyDescent="0.3">
      <c r="A444" s="145"/>
      <c r="B444" s="146"/>
      <c r="C444" s="145"/>
      <c r="D444" s="494">
        <f>SUM(D436:D443)</f>
        <v>25624</v>
      </c>
      <c r="E444" s="494">
        <f t="shared" ref="E444:J444" si="75">SUM(E436:E443)</f>
        <v>10806</v>
      </c>
      <c r="F444" s="494">
        <f t="shared" si="75"/>
        <v>0</v>
      </c>
      <c r="G444" s="494">
        <f t="shared" si="75"/>
        <v>0</v>
      </c>
      <c r="H444" s="494">
        <f t="shared" si="75"/>
        <v>0</v>
      </c>
      <c r="I444" s="494">
        <f t="shared" si="75"/>
        <v>10806</v>
      </c>
      <c r="J444" s="494">
        <f t="shared" si="75"/>
        <v>14818</v>
      </c>
      <c r="K444" s="148"/>
    </row>
    <row r="445" spans="1:11" ht="15.6" x14ac:dyDescent="0.3">
      <c r="A445" s="141"/>
      <c r="B445" s="144"/>
      <c r="C445" s="141"/>
      <c r="D445" s="142"/>
      <c r="E445" s="142"/>
      <c r="F445" s="142"/>
      <c r="G445" s="142"/>
      <c r="H445" s="142"/>
      <c r="I445" s="142"/>
      <c r="J445" s="142"/>
      <c r="K445" s="143"/>
    </row>
    <row r="446" spans="1:11" ht="15.6" x14ac:dyDescent="0.3">
      <c r="A446" s="361"/>
      <c r="B446" s="303"/>
      <c r="C446" s="361"/>
      <c r="D446" s="279"/>
      <c r="E446" s="279"/>
      <c r="F446" s="279"/>
      <c r="G446" s="279"/>
      <c r="H446" s="279"/>
      <c r="I446" s="279"/>
      <c r="J446" s="279"/>
      <c r="K446" s="280"/>
    </row>
    <row r="447" spans="1:11" ht="16.2" thickBot="1" x14ac:dyDescent="0.35">
      <c r="A447" s="362" t="s">
        <v>1264</v>
      </c>
      <c r="B447" s="309"/>
      <c r="C447" s="363"/>
      <c r="D447" s="363"/>
      <c r="E447" s="363"/>
      <c r="F447" s="363"/>
      <c r="G447" s="363"/>
      <c r="H447" s="363"/>
      <c r="I447" s="363"/>
      <c r="J447" s="363"/>
      <c r="K447" s="420"/>
    </row>
    <row r="448" spans="1:11" ht="27.6" thickBot="1" x14ac:dyDescent="0.35">
      <c r="A448" s="354" t="s">
        <v>0</v>
      </c>
      <c r="B448" s="295" t="s">
        <v>1</v>
      </c>
      <c r="C448" s="354" t="s">
        <v>2</v>
      </c>
      <c r="D448" s="355" t="s">
        <v>854</v>
      </c>
      <c r="E448" s="573" t="s">
        <v>855</v>
      </c>
      <c r="F448" s="574"/>
      <c r="G448" s="574"/>
      <c r="H448" s="575"/>
      <c r="I448" s="416"/>
      <c r="J448" s="357" t="s">
        <v>856</v>
      </c>
      <c r="K448" s="295" t="s">
        <v>3</v>
      </c>
    </row>
    <row r="449" spans="1:12" ht="16.2" thickBot="1" x14ac:dyDescent="0.35">
      <c r="A449" s="292">
        <v>1</v>
      </c>
      <c r="B449" s="112" t="s">
        <v>270</v>
      </c>
      <c r="C449" s="292">
        <v>1808</v>
      </c>
      <c r="D449" s="281">
        <v>2744</v>
      </c>
      <c r="E449" s="281"/>
      <c r="F449" s="281"/>
      <c r="G449" s="281"/>
      <c r="H449" s="281"/>
      <c r="I449" s="281">
        <f t="shared" ref="I449:I450" si="76">SUM(E449:H449)</f>
        <v>0</v>
      </c>
      <c r="J449" s="281">
        <f t="shared" ref="J449:J456" si="77">D449-E449-F449-G449-H449</f>
        <v>2744</v>
      </c>
      <c r="K449" s="281"/>
    </row>
    <row r="450" spans="1:12" ht="16.2" thickBot="1" x14ac:dyDescent="0.35">
      <c r="A450" s="292">
        <v>2</v>
      </c>
      <c r="B450" s="112" t="s">
        <v>622</v>
      </c>
      <c r="C450" s="292">
        <v>1541</v>
      </c>
      <c r="D450" s="281">
        <v>2744</v>
      </c>
      <c r="E450" s="281"/>
      <c r="F450" s="281"/>
      <c r="G450" s="281"/>
      <c r="H450" s="281"/>
      <c r="I450" s="281">
        <f t="shared" si="76"/>
        <v>0</v>
      </c>
      <c r="J450" s="281">
        <f t="shared" si="77"/>
        <v>2744</v>
      </c>
      <c r="K450" s="281"/>
    </row>
    <row r="451" spans="1:12" ht="16.2" thickBot="1" x14ac:dyDescent="0.35">
      <c r="A451" s="292">
        <v>3</v>
      </c>
      <c r="B451" s="112" t="s">
        <v>312</v>
      </c>
      <c r="C451" s="292">
        <v>1812</v>
      </c>
      <c r="D451" s="281">
        <v>2744</v>
      </c>
      <c r="E451" s="281">
        <v>1647</v>
      </c>
      <c r="F451" s="281"/>
      <c r="G451" s="281"/>
      <c r="H451" s="281"/>
      <c r="I451" s="281">
        <f>SUM(E451:H451)</f>
        <v>1647</v>
      </c>
      <c r="J451" s="281">
        <f t="shared" si="77"/>
        <v>1097</v>
      </c>
      <c r="K451" s="351" t="s">
        <v>1395</v>
      </c>
    </row>
    <row r="452" spans="1:12" ht="16.2" thickBot="1" x14ac:dyDescent="0.35">
      <c r="A452" s="292">
        <v>4</v>
      </c>
      <c r="B452" s="112" t="s">
        <v>269</v>
      </c>
      <c r="C452" s="292">
        <v>1809</v>
      </c>
      <c r="D452" s="281">
        <v>2744</v>
      </c>
      <c r="E452" s="281">
        <v>2000</v>
      </c>
      <c r="F452" s="281">
        <v>774</v>
      </c>
      <c r="G452" s="281"/>
      <c r="H452" s="281"/>
      <c r="I452" s="281">
        <f t="shared" ref="I452:I456" si="78">SUM(E452:H452)</f>
        <v>2774</v>
      </c>
      <c r="J452" s="281">
        <f t="shared" si="77"/>
        <v>-30</v>
      </c>
      <c r="K452" s="281" t="s">
        <v>1395</v>
      </c>
    </row>
    <row r="453" spans="1:12" ht="16.2" thickBot="1" x14ac:dyDescent="0.35">
      <c r="A453" s="292">
        <v>5</v>
      </c>
      <c r="B453" s="112" t="s">
        <v>20</v>
      </c>
      <c r="C453" s="292">
        <v>1810</v>
      </c>
      <c r="D453" s="281">
        <v>2744</v>
      </c>
      <c r="E453" s="281"/>
      <c r="F453" s="281"/>
      <c r="G453" s="281"/>
      <c r="H453" s="281"/>
      <c r="I453" s="281">
        <f t="shared" si="78"/>
        <v>0</v>
      </c>
      <c r="J453" s="281">
        <f t="shared" si="77"/>
        <v>2744</v>
      </c>
      <c r="K453" s="281"/>
    </row>
    <row r="454" spans="1:12" ht="16.2" thickBot="1" x14ac:dyDescent="0.35">
      <c r="A454" s="292">
        <v>6</v>
      </c>
      <c r="B454" s="112" t="s">
        <v>621</v>
      </c>
      <c r="C454" s="292">
        <v>1624</v>
      </c>
      <c r="D454" s="281">
        <v>2744</v>
      </c>
      <c r="E454" s="281">
        <v>2000</v>
      </c>
      <c r="F454" s="281">
        <v>780</v>
      </c>
      <c r="G454" s="281"/>
      <c r="H454" s="281"/>
      <c r="I454" s="281">
        <f t="shared" si="78"/>
        <v>2780</v>
      </c>
      <c r="J454" s="281">
        <f t="shared" si="77"/>
        <v>-36</v>
      </c>
      <c r="K454" s="6" t="s">
        <v>1395</v>
      </c>
    </row>
    <row r="455" spans="1:12" ht="16.2" thickBot="1" x14ac:dyDescent="0.35">
      <c r="A455" s="292">
        <v>7</v>
      </c>
      <c r="B455" s="112" t="s">
        <v>328</v>
      </c>
      <c r="C455" s="292">
        <v>1824</v>
      </c>
      <c r="D455" s="281">
        <v>2744</v>
      </c>
      <c r="E455" s="281">
        <v>1400</v>
      </c>
      <c r="F455" s="281">
        <v>1375</v>
      </c>
      <c r="G455" s="281"/>
      <c r="H455" s="281"/>
      <c r="I455" s="281">
        <f t="shared" si="78"/>
        <v>2775</v>
      </c>
      <c r="J455" s="281">
        <f t="shared" si="77"/>
        <v>-31</v>
      </c>
      <c r="K455" s="351"/>
    </row>
    <row r="456" spans="1:12" ht="16.2" thickBot="1" x14ac:dyDescent="0.35">
      <c r="A456" s="316">
        <v>8</v>
      </c>
      <c r="B456" s="548" t="s">
        <v>951</v>
      </c>
      <c r="C456" s="572">
        <v>1811</v>
      </c>
      <c r="D456" s="553">
        <v>2744</v>
      </c>
      <c r="E456" s="554">
        <v>2000</v>
      </c>
      <c r="F456" s="554"/>
      <c r="G456" s="554"/>
      <c r="H456" s="554"/>
      <c r="I456" s="554">
        <f t="shared" si="78"/>
        <v>2000</v>
      </c>
      <c r="J456" s="554">
        <f t="shared" si="77"/>
        <v>744</v>
      </c>
      <c r="K456" s="553" t="s">
        <v>1753</v>
      </c>
    </row>
    <row r="457" spans="1:12" ht="15.6" x14ac:dyDescent="0.3">
      <c r="A457" s="145"/>
      <c r="B457" s="311"/>
      <c r="C457" s="145"/>
      <c r="D457" s="147"/>
      <c r="E457" s="147"/>
      <c r="F457" s="147"/>
      <c r="G457" s="147"/>
      <c r="H457" s="147"/>
      <c r="I457" s="147"/>
      <c r="J457" s="147"/>
      <c r="K457" s="148"/>
    </row>
    <row r="458" spans="1:12" ht="15.6" x14ac:dyDescent="0.3">
      <c r="A458" s="141"/>
      <c r="B458" s="300"/>
      <c r="C458" s="141"/>
      <c r="D458" s="142"/>
      <c r="E458" s="142"/>
      <c r="F458" s="142"/>
      <c r="G458" s="142"/>
      <c r="H458" s="142"/>
      <c r="I458" s="142"/>
      <c r="J458" s="142"/>
      <c r="K458" s="143"/>
    </row>
    <row r="459" spans="1:12" ht="15.6" x14ac:dyDescent="0.3">
      <c r="A459" s="280"/>
      <c r="B459" s="280"/>
      <c r="C459" s="280"/>
      <c r="D459" s="279"/>
      <c r="E459" s="279"/>
      <c r="F459" s="279"/>
      <c r="G459" s="279"/>
      <c r="H459" s="279"/>
      <c r="I459" s="279"/>
      <c r="J459" s="279"/>
      <c r="K459" s="280"/>
    </row>
    <row r="460" spans="1:12" ht="15.6" x14ac:dyDescent="0.3">
      <c r="A460" s="280"/>
      <c r="B460" s="280"/>
      <c r="C460" s="280"/>
      <c r="D460" s="279"/>
      <c r="E460" s="279"/>
      <c r="F460" s="279"/>
      <c r="G460" s="279"/>
      <c r="H460" s="279"/>
      <c r="I460" s="279"/>
      <c r="J460" s="279"/>
      <c r="K460" s="280"/>
    </row>
    <row r="461" spans="1:12" ht="16.2" thickBot="1" x14ac:dyDescent="0.35">
      <c r="A461" s="362" t="s">
        <v>1265</v>
      </c>
      <c r="B461" s="309"/>
      <c r="C461" s="363"/>
      <c r="D461" s="363"/>
      <c r="E461" s="363"/>
      <c r="F461" s="363"/>
      <c r="G461" s="363"/>
      <c r="H461" s="363"/>
      <c r="I461" s="363"/>
      <c r="J461" s="363"/>
      <c r="K461" s="420"/>
    </row>
    <row r="462" spans="1:12" ht="27.6" thickBot="1" x14ac:dyDescent="0.35">
      <c r="A462" s="354" t="s">
        <v>0</v>
      </c>
      <c r="B462" s="295" t="s">
        <v>1</v>
      </c>
      <c r="C462" s="354" t="s">
        <v>2</v>
      </c>
      <c r="D462" s="355" t="s">
        <v>854</v>
      </c>
      <c r="E462" s="573" t="s">
        <v>855</v>
      </c>
      <c r="F462" s="574"/>
      <c r="G462" s="574"/>
      <c r="H462" s="575"/>
      <c r="I462" s="416"/>
      <c r="J462" s="357" t="s">
        <v>856</v>
      </c>
      <c r="K462" s="295" t="s">
        <v>3</v>
      </c>
    </row>
    <row r="463" spans="1:12" ht="16.2" thickBot="1" x14ac:dyDescent="0.35">
      <c r="A463" s="292">
        <v>1</v>
      </c>
      <c r="B463" s="112" t="s">
        <v>623</v>
      </c>
      <c r="C463" s="292">
        <v>3190</v>
      </c>
      <c r="D463" s="281">
        <v>3538</v>
      </c>
      <c r="E463" s="281">
        <v>2600</v>
      </c>
      <c r="F463" s="281"/>
      <c r="G463" s="281"/>
      <c r="H463" s="281"/>
      <c r="I463" s="281">
        <f>SUM(E463:H463)</f>
        <v>2600</v>
      </c>
      <c r="J463" s="281">
        <f t="shared" ref="J463:J464" si="79">D463-E463-F463-G463-H463</f>
        <v>938</v>
      </c>
      <c r="K463" s="281"/>
      <c r="L463" s="294" t="s">
        <v>1725</v>
      </c>
    </row>
    <row r="464" spans="1:12" ht="16.2" thickBot="1" x14ac:dyDescent="0.35">
      <c r="A464" s="316">
        <v>2</v>
      </c>
      <c r="B464" s="135" t="s">
        <v>624</v>
      </c>
      <c r="C464" s="316">
        <v>3191</v>
      </c>
      <c r="D464" s="281">
        <v>3538</v>
      </c>
      <c r="E464" s="284"/>
      <c r="F464" s="284"/>
      <c r="G464" s="284"/>
      <c r="H464" s="284"/>
      <c r="I464" s="284"/>
      <c r="J464" s="284">
        <f t="shared" si="79"/>
        <v>3538</v>
      </c>
      <c r="K464" s="284"/>
    </row>
    <row r="465" spans="1:11" ht="15.6" x14ac:dyDescent="0.3">
      <c r="A465" s="145"/>
      <c r="B465" s="146"/>
      <c r="C465" s="145"/>
      <c r="D465" s="494">
        <f>SUM(D463:D464)</f>
        <v>7076</v>
      </c>
      <c r="E465" s="494">
        <f t="shared" ref="E465:J465" si="80">SUM(E463:E464)</f>
        <v>2600</v>
      </c>
      <c r="F465" s="494">
        <f t="shared" si="80"/>
        <v>0</v>
      </c>
      <c r="G465" s="494">
        <f t="shared" si="80"/>
        <v>0</v>
      </c>
      <c r="H465" s="494">
        <f t="shared" si="80"/>
        <v>0</v>
      </c>
      <c r="I465" s="494">
        <f t="shared" si="80"/>
        <v>2600</v>
      </c>
      <c r="J465" s="494">
        <f t="shared" si="80"/>
        <v>4476</v>
      </c>
      <c r="K465" s="147"/>
    </row>
    <row r="466" spans="1:11" ht="15.6" x14ac:dyDescent="0.3">
      <c r="A466" s="141"/>
      <c r="B466" s="300"/>
      <c r="C466" s="141"/>
      <c r="D466" s="142"/>
      <c r="E466" s="142"/>
      <c r="F466" s="142"/>
      <c r="G466" s="142"/>
      <c r="H466" s="142"/>
      <c r="I466" s="142"/>
      <c r="J466" s="142"/>
      <c r="K466" s="143"/>
    </row>
    <row r="467" spans="1:11" ht="16.2" thickBot="1" x14ac:dyDescent="0.35">
      <c r="A467" s="280"/>
      <c r="B467" s="280"/>
      <c r="C467" s="280"/>
      <c r="D467" s="279"/>
      <c r="E467" s="279"/>
      <c r="F467" s="279"/>
      <c r="G467" s="279"/>
      <c r="H467" s="279"/>
      <c r="I467" s="279"/>
      <c r="J467" s="279"/>
      <c r="K467" s="280"/>
    </row>
    <row r="468" spans="1:11" ht="16.2" thickBot="1" x14ac:dyDescent="0.35">
      <c r="A468" s="353" t="s">
        <v>21</v>
      </c>
      <c r="B468" s="112"/>
      <c r="C468" s="281"/>
      <c r="D468" s="281"/>
      <c r="E468" s="281"/>
      <c r="F468" s="281"/>
      <c r="G468" s="281"/>
      <c r="H468" s="281"/>
      <c r="I468" s="281"/>
      <c r="J468" s="281"/>
      <c r="K468" s="351"/>
    </row>
    <row r="469" spans="1:11" ht="27.6" thickBot="1" x14ac:dyDescent="0.35">
      <c r="A469" s="354" t="s">
        <v>0</v>
      </c>
      <c r="B469" s="295" t="s">
        <v>1</v>
      </c>
      <c r="C469" s="354" t="s">
        <v>2</v>
      </c>
      <c r="D469" s="355" t="s">
        <v>854</v>
      </c>
      <c r="E469" s="573" t="s">
        <v>855</v>
      </c>
      <c r="F469" s="574"/>
      <c r="G469" s="574"/>
      <c r="H469" s="575"/>
      <c r="I469" s="416"/>
      <c r="J469" s="357" t="s">
        <v>856</v>
      </c>
      <c r="K469" s="295" t="s">
        <v>3</v>
      </c>
    </row>
    <row r="470" spans="1:11" ht="16.2" thickBot="1" x14ac:dyDescent="0.35">
      <c r="A470" s="315">
        <v>1</v>
      </c>
      <c r="B470" s="131" t="s">
        <v>1408</v>
      </c>
      <c r="C470" s="315"/>
      <c r="D470" s="281">
        <v>5578</v>
      </c>
      <c r="E470" s="281">
        <v>2040</v>
      </c>
      <c r="F470" s="281"/>
      <c r="G470" s="281"/>
      <c r="H470" s="281"/>
      <c r="I470" s="281">
        <f>SUM(E470:H470)</f>
        <v>2040</v>
      </c>
      <c r="J470" s="281">
        <f>D470-E470-F470-G470-H470</f>
        <v>3538</v>
      </c>
      <c r="K470" s="281"/>
    </row>
    <row r="471" spans="1:11" ht="16.2" thickBot="1" x14ac:dyDescent="0.35">
      <c r="A471" s="315">
        <v>2</v>
      </c>
      <c r="B471" s="131" t="s">
        <v>1616</v>
      </c>
      <c r="C471" s="315"/>
      <c r="D471" s="281">
        <v>5578</v>
      </c>
      <c r="E471" s="281">
        <v>1000</v>
      </c>
      <c r="F471" s="281">
        <v>540</v>
      </c>
      <c r="G471" s="281"/>
      <c r="H471" s="281"/>
      <c r="I471" s="281">
        <f>SUM(E471:H471)</f>
        <v>1540</v>
      </c>
      <c r="J471" s="281">
        <f>D471-E471-F471-G471-H471</f>
        <v>4038</v>
      </c>
      <c r="K471" s="281" t="s">
        <v>1378</v>
      </c>
    </row>
    <row r="472" spans="1:11" ht="16.2" thickBot="1" x14ac:dyDescent="0.35">
      <c r="A472" s="283">
        <v>3</v>
      </c>
      <c r="B472" s="135"/>
      <c r="C472" s="316"/>
      <c r="D472" s="499">
        <f>SUM(D470:D471)</f>
        <v>11156</v>
      </c>
      <c r="E472" s="499">
        <f t="shared" ref="E472:J472" si="81">SUM(E470:E471)</f>
        <v>3040</v>
      </c>
      <c r="F472" s="499">
        <f t="shared" si="81"/>
        <v>540</v>
      </c>
      <c r="G472" s="499">
        <f t="shared" si="81"/>
        <v>0</v>
      </c>
      <c r="H472" s="499">
        <f t="shared" si="81"/>
        <v>0</v>
      </c>
      <c r="I472" s="499">
        <f t="shared" si="81"/>
        <v>3580</v>
      </c>
      <c r="J472" s="499">
        <f t="shared" si="81"/>
        <v>7576</v>
      </c>
      <c r="K472" s="284"/>
    </row>
    <row r="473" spans="1:11" ht="15.6" x14ac:dyDescent="0.3">
      <c r="A473" s="143"/>
      <c r="B473" s="143"/>
      <c r="C473" s="143"/>
      <c r="D473" s="142"/>
      <c r="E473" s="142"/>
      <c r="F473" s="142"/>
      <c r="G473" s="142"/>
      <c r="H473" s="142"/>
      <c r="I473" s="142"/>
      <c r="J473" s="142"/>
      <c r="K473" s="143"/>
    </row>
    <row r="474" spans="1:11" ht="15.6" x14ac:dyDescent="0.3">
      <c r="A474" s="143"/>
      <c r="B474" s="143"/>
      <c r="C474" s="143"/>
      <c r="D474" s="142"/>
      <c r="E474" s="142"/>
      <c r="F474" s="142"/>
      <c r="G474" s="142"/>
      <c r="H474" s="142"/>
      <c r="I474" s="142"/>
      <c r="J474" s="142"/>
      <c r="K474" s="143"/>
    </row>
    <row r="475" spans="1:11" ht="16.2" thickBot="1" x14ac:dyDescent="0.35">
      <c r="A475" s="143"/>
      <c r="B475" s="143"/>
      <c r="C475" s="143"/>
      <c r="D475" s="142"/>
      <c r="E475" s="142"/>
      <c r="F475" s="142"/>
      <c r="G475" s="142"/>
      <c r="H475" s="142"/>
      <c r="I475" s="142"/>
      <c r="J475" s="142"/>
      <c r="K475" s="143"/>
    </row>
    <row r="476" spans="1:11" ht="16.2" thickBot="1" x14ac:dyDescent="0.35">
      <c r="A476" s="353" t="s">
        <v>991</v>
      </c>
      <c r="B476" s="112"/>
      <c r="C476" s="281"/>
      <c r="D476" s="281"/>
      <c r="E476" s="281"/>
      <c r="F476" s="281"/>
      <c r="G476" s="281"/>
      <c r="H476" s="281"/>
      <c r="I476" s="281"/>
      <c r="J476" s="281"/>
      <c r="K476" s="351"/>
    </row>
    <row r="477" spans="1:11" ht="27.6" thickBot="1" x14ac:dyDescent="0.35">
      <c r="A477" s="354" t="s">
        <v>0</v>
      </c>
      <c r="B477" s="295" t="s">
        <v>1</v>
      </c>
      <c r="C477" s="354" t="s">
        <v>2</v>
      </c>
      <c r="D477" s="355" t="s">
        <v>854</v>
      </c>
      <c r="E477" s="573" t="s">
        <v>855</v>
      </c>
      <c r="F477" s="574"/>
      <c r="G477" s="574"/>
      <c r="H477" s="575"/>
      <c r="I477" s="416"/>
      <c r="J477" s="357" t="s">
        <v>856</v>
      </c>
      <c r="K477" s="295" t="s">
        <v>3</v>
      </c>
    </row>
    <row r="478" spans="1:11" ht="16.2" thickBot="1" x14ac:dyDescent="0.35">
      <c r="A478" s="315">
        <v>1</v>
      </c>
      <c r="B478" s="131" t="s">
        <v>625</v>
      </c>
      <c r="C478" s="315">
        <v>3059</v>
      </c>
      <c r="D478" s="281">
        <v>3203</v>
      </c>
      <c r="E478" s="281">
        <v>2502</v>
      </c>
      <c r="F478" s="281"/>
      <c r="G478" s="281"/>
      <c r="H478" s="281"/>
      <c r="I478" s="281">
        <f>SUM(E478:H478)</f>
        <v>2502</v>
      </c>
      <c r="J478" s="281">
        <f>D478-E478-F478-G478-H478</f>
        <v>701</v>
      </c>
      <c r="K478" s="281"/>
    </row>
    <row r="479" spans="1:11" ht="16.2" thickBot="1" x14ac:dyDescent="0.35">
      <c r="A479" s="315">
        <v>2</v>
      </c>
      <c r="B479" s="131" t="s">
        <v>969</v>
      </c>
      <c r="C479" s="315">
        <v>3329</v>
      </c>
      <c r="D479" s="281">
        <v>3203</v>
      </c>
      <c r="E479" s="281">
        <v>1000</v>
      </c>
      <c r="F479" s="281"/>
      <c r="G479" s="281"/>
      <c r="H479" s="281"/>
      <c r="I479" s="281">
        <f>SUM(E479:H479)</f>
        <v>1000</v>
      </c>
      <c r="J479" s="281">
        <f>D479-E479-F479-G479-H479</f>
        <v>2203</v>
      </c>
      <c r="K479" s="281"/>
    </row>
    <row r="480" spans="1:11" ht="16.2" thickBot="1" x14ac:dyDescent="0.35">
      <c r="A480" s="283">
        <v>3</v>
      </c>
      <c r="B480" s="135" t="s">
        <v>1187</v>
      </c>
      <c r="C480" s="316">
        <v>2641</v>
      </c>
      <c r="D480" s="281">
        <v>3203</v>
      </c>
      <c r="E480" s="284"/>
      <c r="F480" s="284"/>
      <c r="G480" s="284"/>
      <c r="H480" s="284"/>
      <c r="I480" s="284">
        <f>SUM(E480:H480)</f>
        <v>0</v>
      </c>
      <c r="J480" s="284">
        <f>D480-E480-F480-G480-H480</f>
        <v>3203</v>
      </c>
      <c r="K480" s="284"/>
    </row>
    <row r="481" spans="1:15" ht="15.6" x14ac:dyDescent="0.3">
      <c r="A481" s="145"/>
      <c r="B481" s="146"/>
      <c r="C481" s="145"/>
      <c r="D481" s="494">
        <f>SUM(D478:D480)</f>
        <v>9609</v>
      </c>
      <c r="E481" s="494">
        <f t="shared" ref="E481:J481" si="82">SUM(E478:E480)</f>
        <v>3502</v>
      </c>
      <c r="F481" s="494">
        <f t="shared" si="82"/>
        <v>0</v>
      </c>
      <c r="G481" s="494">
        <f t="shared" si="82"/>
        <v>0</v>
      </c>
      <c r="H481" s="494">
        <f t="shared" si="82"/>
        <v>0</v>
      </c>
      <c r="I481" s="494">
        <f t="shared" si="82"/>
        <v>3502</v>
      </c>
      <c r="J481" s="494">
        <f t="shared" si="82"/>
        <v>6107</v>
      </c>
      <c r="K481" s="147"/>
    </row>
    <row r="482" spans="1:15" ht="15.6" x14ac:dyDescent="0.3">
      <c r="A482" s="141"/>
      <c r="B482" s="300"/>
      <c r="C482" s="141"/>
      <c r="D482" s="142"/>
      <c r="E482" s="142"/>
      <c r="F482" s="142"/>
      <c r="G482" s="142"/>
      <c r="H482" s="142"/>
      <c r="I482" s="142"/>
      <c r="J482" s="142"/>
      <c r="K482" s="142"/>
    </row>
    <row r="483" spans="1:15" ht="15.6" x14ac:dyDescent="0.3">
      <c r="A483" s="361"/>
      <c r="B483" s="303"/>
      <c r="C483" s="361"/>
      <c r="D483" s="279"/>
      <c r="E483" s="279"/>
      <c r="F483" s="279"/>
      <c r="G483" s="279"/>
      <c r="H483" s="279"/>
      <c r="I483" s="279"/>
      <c r="J483" s="279"/>
      <c r="K483" s="279"/>
    </row>
    <row r="484" spans="1:15" ht="16.2" thickBot="1" x14ac:dyDescent="0.35">
      <c r="A484" s="362" t="s">
        <v>1266</v>
      </c>
      <c r="B484" s="309"/>
      <c r="C484" s="363"/>
      <c r="D484" s="363"/>
      <c r="E484" s="363"/>
      <c r="F484" s="363"/>
      <c r="G484" s="363"/>
      <c r="H484" s="363"/>
      <c r="I484" s="363"/>
      <c r="J484" s="363"/>
      <c r="K484" s="420"/>
    </row>
    <row r="485" spans="1:15" ht="27.6" thickBot="1" x14ac:dyDescent="0.35">
      <c r="A485" s="354" t="s">
        <v>0</v>
      </c>
      <c r="B485" s="295" t="s">
        <v>1</v>
      </c>
      <c r="C485" s="354" t="s">
        <v>2</v>
      </c>
      <c r="D485" s="355" t="s">
        <v>854</v>
      </c>
      <c r="E485" s="573" t="s">
        <v>855</v>
      </c>
      <c r="F485" s="574"/>
      <c r="G485" s="574"/>
      <c r="H485" s="575"/>
      <c r="I485" s="416"/>
      <c r="J485" s="357" t="s">
        <v>856</v>
      </c>
      <c r="K485" s="295" t="s">
        <v>3</v>
      </c>
    </row>
    <row r="486" spans="1:15" ht="15.6" x14ac:dyDescent="0.3">
      <c r="A486" s="283">
        <v>1</v>
      </c>
      <c r="B486" s="282" t="s">
        <v>990</v>
      </c>
      <c r="C486" s="283">
        <v>2516</v>
      </c>
      <c r="D486" s="284">
        <v>2744</v>
      </c>
      <c r="E486" s="284">
        <v>1300</v>
      </c>
      <c r="F486" s="284"/>
      <c r="G486" s="284"/>
      <c r="H486" s="284"/>
      <c r="I486" s="284">
        <f>SUM(E486:H486)</f>
        <v>1300</v>
      </c>
      <c r="J486" s="284">
        <f>D486-E486-F486-G486-H486</f>
        <v>1444</v>
      </c>
      <c r="K486" s="284" t="s">
        <v>1659</v>
      </c>
    </row>
    <row r="487" spans="1:15" ht="15.6" x14ac:dyDescent="0.3">
      <c r="A487" s="373"/>
      <c r="B487" s="187"/>
      <c r="C487" s="373"/>
      <c r="D487" s="147"/>
      <c r="E487" s="147"/>
      <c r="F487" s="147"/>
      <c r="G487" s="147"/>
      <c r="H487" s="147"/>
      <c r="I487" s="147"/>
      <c r="J487" s="147"/>
      <c r="K487" s="147"/>
    </row>
    <row r="488" spans="1:15" ht="15.6" x14ac:dyDescent="0.3">
      <c r="A488" s="141"/>
      <c r="B488" s="300"/>
      <c r="C488" s="141"/>
      <c r="D488" s="142"/>
      <c r="E488" s="142"/>
      <c r="F488" s="142"/>
      <c r="G488" s="142"/>
      <c r="H488" s="142"/>
      <c r="I488" s="142"/>
      <c r="J488" s="142"/>
      <c r="K488" s="143"/>
    </row>
    <row r="489" spans="1:15" ht="15.6" x14ac:dyDescent="0.3">
      <c r="A489" s="280"/>
      <c r="B489" s="280"/>
      <c r="C489" s="280"/>
      <c r="D489" s="279"/>
      <c r="E489" s="279"/>
      <c r="F489" s="279"/>
      <c r="G489" s="279"/>
      <c r="H489" s="279"/>
      <c r="I489" s="279"/>
      <c r="J489" s="279"/>
      <c r="K489" s="280"/>
      <c r="O489" s="190"/>
    </row>
    <row r="490" spans="1:15" ht="16.2" thickBot="1" x14ac:dyDescent="0.35">
      <c r="A490" s="362" t="s">
        <v>626</v>
      </c>
      <c r="B490" s="309"/>
      <c r="C490" s="363"/>
      <c r="D490" s="363"/>
      <c r="E490" s="363"/>
      <c r="F490" s="363"/>
      <c r="G490" s="363"/>
      <c r="H490" s="363"/>
      <c r="I490" s="363"/>
      <c r="J490" s="363"/>
      <c r="K490" s="420"/>
      <c r="O490" s="190"/>
    </row>
    <row r="491" spans="1:15" ht="27.6" thickBot="1" x14ac:dyDescent="0.35">
      <c r="A491" s="354" t="s">
        <v>0</v>
      </c>
      <c r="B491" s="295" t="s">
        <v>1</v>
      </c>
      <c r="C491" s="354" t="s">
        <v>2</v>
      </c>
      <c r="D491" s="355" t="s">
        <v>854</v>
      </c>
      <c r="E491" s="573" t="s">
        <v>855</v>
      </c>
      <c r="F491" s="574"/>
      <c r="G491" s="574"/>
      <c r="H491" s="575"/>
      <c r="I491" s="416"/>
      <c r="J491" s="357" t="s">
        <v>856</v>
      </c>
      <c r="K491" s="295" t="s">
        <v>3</v>
      </c>
      <c r="O491" s="190"/>
    </row>
    <row r="492" spans="1:15" ht="16.2" thickBot="1" x14ac:dyDescent="0.35">
      <c r="A492" s="292">
        <v>1</v>
      </c>
      <c r="B492" s="112" t="s">
        <v>1392</v>
      </c>
      <c r="C492" s="292"/>
      <c r="D492" s="281">
        <v>5578</v>
      </c>
      <c r="E492" s="281">
        <v>2040</v>
      </c>
      <c r="F492" s="281">
        <v>2000</v>
      </c>
      <c r="G492" s="281"/>
      <c r="H492" s="281"/>
      <c r="I492" s="281">
        <f>SUM(E492:H492)</f>
        <v>4040</v>
      </c>
      <c r="J492" s="281">
        <f t="shared" ref="J492:J493" si="83">D492-E492-F492-G492-H492</f>
        <v>1538</v>
      </c>
      <c r="K492" s="281" t="s">
        <v>1395</v>
      </c>
      <c r="O492" s="190"/>
    </row>
    <row r="493" spans="1:15" ht="16.2" thickBot="1" x14ac:dyDescent="0.35">
      <c r="A493" s="316">
        <v>2</v>
      </c>
      <c r="B493" s="112" t="s">
        <v>1503</v>
      </c>
      <c r="C493" s="316"/>
      <c r="D493" s="281">
        <v>5578</v>
      </c>
      <c r="E493" s="284">
        <v>2040</v>
      </c>
      <c r="F493" s="284">
        <v>4632</v>
      </c>
      <c r="G493" s="284"/>
      <c r="H493" s="284"/>
      <c r="I493" s="284">
        <f>SUM(E493:H493)</f>
        <v>6672</v>
      </c>
      <c r="J493" s="284">
        <f t="shared" si="83"/>
        <v>-1094</v>
      </c>
      <c r="K493" s="284" t="s">
        <v>1395</v>
      </c>
      <c r="O493" s="190"/>
    </row>
    <row r="494" spans="1:15" ht="15.6" x14ac:dyDescent="0.3">
      <c r="A494" s="143"/>
      <c r="B494" s="143"/>
      <c r="C494" s="143"/>
      <c r="D494" s="495">
        <f>SUM(D492:D493)</f>
        <v>11156</v>
      </c>
      <c r="E494" s="495">
        <f t="shared" ref="E494:J494" si="84">SUM(E492:E493)</f>
        <v>4080</v>
      </c>
      <c r="F494" s="495">
        <f t="shared" si="84"/>
        <v>6632</v>
      </c>
      <c r="G494" s="495">
        <f t="shared" si="84"/>
        <v>0</v>
      </c>
      <c r="H494" s="495">
        <f t="shared" si="84"/>
        <v>0</v>
      </c>
      <c r="I494" s="495">
        <f t="shared" si="84"/>
        <v>10712</v>
      </c>
      <c r="J494" s="495">
        <f t="shared" si="84"/>
        <v>444</v>
      </c>
      <c r="K494" s="143"/>
      <c r="O494" s="190"/>
    </row>
    <row r="495" spans="1:15" ht="15.6" x14ac:dyDescent="0.3">
      <c r="A495" s="143"/>
      <c r="B495" s="143"/>
      <c r="C495" s="143"/>
      <c r="D495" s="142"/>
      <c r="E495" s="142"/>
      <c r="F495" s="142"/>
      <c r="G495" s="142"/>
      <c r="H495" s="142"/>
      <c r="I495" s="142"/>
      <c r="J495" s="142"/>
      <c r="K495" s="143"/>
      <c r="O495" s="190"/>
    </row>
    <row r="496" spans="1:15" ht="15.6" x14ac:dyDescent="0.3">
      <c r="A496" s="143"/>
      <c r="B496" s="143"/>
      <c r="C496" s="143"/>
      <c r="D496" s="142"/>
      <c r="E496" s="142"/>
      <c r="F496" s="142"/>
      <c r="G496" s="142"/>
      <c r="H496" s="142"/>
      <c r="I496" s="142"/>
      <c r="J496" s="142"/>
      <c r="K496" s="143"/>
      <c r="O496" s="190"/>
    </row>
    <row r="497" spans="1:11" ht="16.2" thickBot="1" x14ac:dyDescent="0.35">
      <c r="A497" s="362" t="s">
        <v>1267</v>
      </c>
      <c r="B497" s="309"/>
      <c r="C497" s="363"/>
      <c r="D497" s="363"/>
      <c r="E497" s="363"/>
      <c r="F497" s="363"/>
      <c r="G497" s="363"/>
      <c r="H497" s="363"/>
      <c r="I497" s="363"/>
      <c r="J497" s="363"/>
      <c r="K497" s="420"/>
    </row>
    <row r="498" spans="1:11" ht="27.6" thickBot="1" x14ac:dyDescent="0.35">
      <c r="A498" s="354" t="s">
        <v>0</v>
      </c>
      <c r="B498" s="295" t="s">
        <v>1</v>
      </c>
      <c r="C498" s="354" t="s">
        <v>2</v>
      </c>
      <c r="D498" s="355" t="s">
        <v>854</v>
      </c>
      <c r="E498" s="573" t="s">
        <v>855</v>
      </c>
      <c r="F498" s="574"/>
      <c r="G498" s="574"/>
      <c r="H498" s="575"/>
      <c r="I498" s="416"/>
      <c r="J498" s="357" t="s">
        <v>856</v>
      </c>
      <c r="K498" s="295" t="s">
        <v>3</v>
      </c>
    </row>
    <row r="499" spans="1:11" ht="16.2" thickBot="1" x14ac:dyDescent="0.35">
      <c r="A499" s="292">
        <v>1</v>
      </c>
      <c r="B499" s="112" t="s">
        <v>627</v>
      </c>
      <c r="C499" s="292">
        <v>3071</v>
      </c>
      <c r="D499" s="281">
        <v>3203</v>
      </c>
      <c r="E499" s="281">
        <v>2000</v>
      </c>
      <c r="F499" s="281">
        <v>1100</v>
      </c>
      <c r="G499" s="281"/>
      <c r="H499" s="281"/>
      <c r="I499" s="281">
        <f>SUM(E499:H499)</f>
        <v>3100</v>
      </c>
      <c r="J499" s="281">
        <f t="shared" ref="J499:J500" si="85">D499-E499-F499-G499-H499</f>
        <v>103</v>
      </c>
      <c r="K499" s="351" t="s">
        <v>1395</v>
      </c>
    </row>
    <row r="500" spans="1:11" ht="16.2" thickBot="1" x14ac:dyDescent="0.35">
      <c r="A500" s="316">
        <v>2</v>
      </c>
      <c r="B500" s="135" t="s">
        <v>628</v>
      </c>
      <c r="C500" s="316">
        <v>3070</v>
      </c>
      <c r="D500" s="281">
        <v>3203</v>
      </c>
      <c r="E500" s="284"/>
      <c r="F500" s="284"/>
      <c r="G500" s="284"/>
      <c r="H500" s="284"/>
      <c r="I500" s="284">
        <f>SUM(E500:H500)</f>
        <v>0</v>
      </c>
      <c r="J500" s="284">
        <f t="shared" si="85"/>
        <v>3203</v>
      </c>
      <c r="K500" s="284"/>
    </row>
    <row r="501" spans="1:11" ht="15.6" x14ac:dyDescent="0.3">
      <c r="A501" s="145"/>
      <c r="B501" s="146"/>
      <c r="C501" s="145"/>
      <c r="D501" s="494">
        <f>SUM(D499:D500)</f>
        <v>6406</v>
      </c>
      <c r="E501" s="494">
        <f t="shared" ref="E501:J501" si="86">SUM(E499:E500)</f>
        <v>2000</v>
      </c>
      <c r="F501" s="494">
        <f t="shared" si="86"/>
        <v>1100</v>
      </c>
      <c r="G501" s="494">
        <f t="shared" si="86"/>
        <v>0</v>
      </c>
      <c r="H501" s="494">
        <f t="shared" si="86"/>
        <v>0</v>
      </c>
      <c r="I501" s="494">
        <f t="shared" si="86"/>
        <v>3100</v>
      </c>
      <c r="J501" s="494">
        <f t="shared" si="86"/>
        <v>3306</v>
      </c>
      <c r="K501" s="147"/>
    </row>
    <row r="502" spans="1:11" ht="15.6" x14ac:dyDescent="0.3">
      <c r="A502" s="141"/>
      <c r="B502" s="300"/>
      <c r="C502" s="141"/>
      <c r="D502" s="142"/>
      <c r="E502" s="142"/>
      <c r="F502" s="142"/>
      <c r="G502" s="142"/>
      <c r="H502" s="142"/>
      <c r="I502" s="142"/>
      <c r="J502" s="142"/>
      <c r="K502" s="143"/>
    </row>
    <row r="503" spans="1:11" ht="15.6" x14ac:dyDescent="0.3">
      <c r="A503" s="280"/>
      <c r="B503" s="280"/>
      <c r="C503" s="280"/>
      <c r="D503" s="279"/>
      <c r="E503" s="279"/>
      <c r="F503" s="279"/>
      <c r="G503" s="279"/>
      <c r="H503" s="279"/>
      <c r="I503" s="279"/>
      <c r="J503" s="279"/>
      <c r="K503" s="280"/>
    </row>
    <row r="504" spans="1:11" ht="16.2" thickBot="1" x14ac:dyDescent="0.35">
      <c r="A504" s="362" t="s">
        <v>22</v>
      </c>
      <c r="B504" s="309"/>
      <c r="C504" s="363"/>
      <c r="D504" s="363"/>
      <c r="E504" s="363"/>
      <c r="F504" s="363"/>
      <c r="G504" s="363"/>
      <c r="H504" s="363"/>
      <c r="I504" s="363"/>
      <c r="J504" s="363"/>
      <c r="K504" s="420"/>
    </row>
    <row r="505" spans="1:11" ht="27.6" thickBot="1" x14ac:dyDescent="0.35">
      <c r="A505" s="354" t="s">
        <v>0</v>
      </c>
      <c r="B505" s="295" t="s">
        <v>1</v>
      </c>
      <c r="C505" s="354" t="s">
        <v>2</v>
      </c>
      <c r="D505" s="355" t="s">
        <v>854</v>
      </c>
      <c r="E505" s="573" t="s">
        <v>855</v>
      </c>
      <c r="F505" s="574"/>
      <c r="G505" s="574"/>
      <c r="H505" s="575"/>
      <c r="I505" s="416"/>
      <c r="J505" s="357" t="s">
        <v>856</v>
      </c>
      <c r="K505" s="295" t="s">
        <v>3</v>
      </c>
    </row>
    <row r="506" spans="1:11" ht="15.6" x14ac:dyDescent="0.3">
      <c r="A506" s="283">
        <v>1</v>
      </c>
      <c r="B506" s="282" t="s">
        <v>1381</v>
      </c>
      <c r="C506" s="283"/>
      <c r="D506" s="284">
        <v>5578</v>
      </c>
      <c r="E506" s="284">
        <v>2040</v>
      </c>
      <c r="F506" s="284">
        <v>2000</v>
      </c>
      <c r="G506" s="284">
        <v>2000</v>
      </c>
      <c r="H506" s="284"/>
      <c r="I506" s="284">
        <f>SUM(E506:H506)</f>
        <v>6040</v>
      </c>
      <c r="J506" s="284">
        <f t="shared" ref="J506:J507" si="87">D506-E506-F506-G506-H506</f>
        <v>-462</v>
      </c>
      <c r="K506" s="284" t="s">
        <v>1395</v>
      </c>
    </row>
    <row r="507" spans="1:11" ht="16.2" thickBot="1" x14ac:dyDescent="0.35">
      <c r="A507" s="269">
        <v>2</v>
      </c>
      <c r="B507" s="275" t="s">
        <v>1408</v>
      </c>
      <c r="C507" s="273"/>
      <c r="D507" s="271">
        <v>5578</v>
      </c>
      <c r="E507" s="271">
        <v>2040</v>
      </c>
      <c r="F507" s="271">
        <v>1000</v>
      </c>
      <c r="G507" s="271"/>
      <c r="H507" s="271"/>
      <c r="I507" s="271">
        <f t="shared" ref="I507" si="88">SUM(E507:H507)</f>
        <v>3040</v>
      </c>
      <c r="J507" s="271">
        <f t="shared" si="87"/>
        <v>2538</v>
      </c>
      <c r="K507" s="271" t="s">
        <v>1395</v>
      </c>
    </row>
    <row r="508" spans="1:11" ht="15.6" x14ac:dyDescent="0.3">
      <c r="A508" s="283">
        <v>3</v>
      </c>
      <c r="B508" s="275" t="s">
        <v>1581</v>
      </c>
      <c r="C508" s="273"/>
      <c r="D508" s="271">
        <v>5578</v>
      </c>
      <c r="E508" s="271">
        <v>2500</v>
      </c>
      <c r="F508" s="271">
        <v>4000</v>
      </c>
      <c r="G508" s="271"/>
      <c r="H508" s="271"/>
      <c r="I508" s="271">
        <f t="shared" ref="I508" si="89">SUM(E508:H508)</f>
        <v>6500</v>
      </c>
      <c r="J508" s="271">
        <f t="shared" ref="J508" si="90">D508-E508-F508-G508-H508</f>
        <v>-922</v>
      </c>
      <c r="K508" s="271" t="s">
        <v>1395</v>
      </c>
    </row>
    <row r="509" spans="1:11" ht="15.6" x14ac:dyDescent="0.3">
      <c r="A509" s="143"/>
      <c r="B509" s="143"/>
      <c r="C509" s="143"/>
      <c r="D509" s="495">
        <f>SUM(D506:D508)</f>
        <v>16734</v>
      </c>
      <c r="E509" s="495">
        <f t="shared" ref="E509:J509" si="91">SUM(E506:E508)</f>
        <v>6580</v>
      </c>
      <c r="F509" s="495">
        <f t="shared" si="91"/>
        <v>7000</v>
      </c>
      <c r="G509" s="495">
        <f t="shared" si="91"/>
        <v>2000</v>
      </c>
      <c r="H509" s="495">
        <f t="shared" si="91"/>
        <v>0</v>
      </c>
      <c r="I509" s="495">
        <f t="shared" si="91"/>
        <v>15580</v>
      </c>
      <c r="J509" s="495">
        <f t="shared" si="91"/>
        <v>1154</v>
      </c>
      <c r="K509" s="143"/>
    </row>
    <row r="510" spans="1:11" ht="15.6" x14ac:dyDescent="0.3">
      <c r="A510" s="143"/>
      <c r="B510" s="143"/>
      <c r="C510" s="143"/>
      <c r="D510" s="142"/>
      <c r="E510" s="142"/>
      <c r="F510" s="142"/>
      <c r="G510" s="142"/>
      <c r="H510" s="142"/>
      <c r="I510" s="142"/>
      <c r="J510" s="142"/>
      <c r="K510" s="143"/>
    </row>
    <row r="511" spans="1:11" ht="15.6" x14ac:dyDescent="0.3">
      <c r="A511" s="143"/>
      <c r="B511" s="143"/>
      <c r="C511" s="143"/>
      <c r="D511" s="142"/>
      <c r="E511" s="142"/>
      <c r="F511" s="142"/>
      <c r="G511" s="142"/>
      <c r="H511" s="142"/>
      <c r="I511" s="142"/>
      <c r="J511" s="142"/>
      <c r="K511" s="143"/>
    </row>
    <row r="512" spans="1:11" ht="16.2" thickBot="1" x14ac:dyDescent="0.35">
      <c r="A512" s="362" t="s">
        <v>1268</v>
      </c>
      <c r="B512" s="309"/>
      <c r="C512" s="363"/>
      <c r="D512" s="363"/>
      <c r="E512" s="363"/>
      <c r="F512" s="363"/>
      <c r="G512" s="363"/>
      <c r="H512" s="363"/>
      <c r="I512" s="363"/>
      <c r="J512" s="363"/>
      <c r="K512" s="420"/>
    </row>
    <row r="513" spans="1:11" ht="27.6" thickBot="1" x14ac:dyDescent="0.35">
      <c r="A513" s="354" t="s">
        <v>0</v>
      </c>
      <c r="B513" s="295" t="s">
        <v>1</v>
      </c>
      <c r="C513" s="354" t="s">
        <v>2</v>
      </c>
      <c r="D513" s="355" t="s">
        <v>854</v>
      </c>
      <c r="E513" s="573" t="s">
        <v>855</v>
      </c>
      <c r="F513" s="574"/>
      <c r="G513" s="574"/>
      <c r="H513" s="575"/>
      <c r="I513" s="416"/>
      <c r="J513" s="357" t="s">
        <v>856</v>
      </c>
      <c r="K513" s="295" t="s">
        <v>3</v>
      </c>
    </row>
    <row r="514" spans="1:11" ht="16.2" thickBot="1" x14ac:dyDescent="0.35">
      <c r="A514" s="315">
        <v>1</v>
      </c>
      <c r="B514" s="131" t="s">
        <v>629</v>
      </c>
      <c r="C514" s="315"/>
      <c r="D514" s="281">
        <v>3203</v>
      </c>
      <c r="E514" s="281">
        <v>1012</v>
      </c>
      <c r="F514" s="281">
        <v>50</v>
      </c>
      <c r="G514" s="281">
        <v>1000</v>
      </c>
      <c r="H514" s="281"/>
      <c r="I514" s="281">
        <f>SUM(E514:H514)</f>
        <v>2062</v>
      </c>
      <c r="J514" s="281">
        <f t="shared" ref="J514:J515" si="92">D514-E514-F514-G514-H514</f>
        <v>1141</v>
      </c>
      <c r="K514" s="271" t="s">
        <v>1395</v>
      </c>
    </row>
    <row r="515" spans="1:11" ht="16.2" thickBot="1" x14ac:dyDescent="0.35">
      <c r="A515" s="283">
        <v>2</v>
      </c>
      <c r="B515" s="135" t="s">
        <v>879</v>
      </c>
      <c r="C515" s="316"/>
      <c r="D515" s="281">
        <v>3203</v>
      </c>
      <c r="E515" s="284"/>
      <c r="F515" s="284"/>
      <c r="G515" s="284"/>
      <c r="H515" s="284"/>
      <c r="I515" s="284">
        <f t="shared" ref="I515" si="93">SUM(E515:H515)</f>
        <v>0</v>
      </c>
      <c r="J515" s="284">
        <f t="shared" si="92"/>
        <v>3203</v>
      </c>
      <c r="K515" s="284"/>
    </row>
    <row r="516" spans="1:11" ht="15.6" x14ac:dyDescent="0.3">
      <c r="A516" s="145"/>
      <c r="B516" s="187"/>
      <c r="C516" s="145"/>
      <c r="D516" s="494">
        <f>SUM(D514:D515)</f>
        <v>6406</v>
      </c>
      <c r="E516" s="494">
        <f t="shared" ref="E516:J516" si="94">SUM(E514:E515)</f>
        <v>1012</v>
      </c>
      <c r="F516" s="494">
        <f t="shared" si="94"/>
        <v>50</v>
      </c>
      <c r="G516" s="494">
        <f t="shared" si="94"/>
        <v>1000</v>
      </c>
      <c r="H516" s="494">
        <f t="shared" si="94"/>
        <v>0</v>
      </c>
      <c r="I516" s="494">
        <f t="shared" si="94"/>
        <v>2062</v>
      </c>
      <c r="J516" s="494">
        <f t="shared" si="94"/>
        <v>4344</v>
      </c>
      <c r="K516" s="147"/>
    </row>
    <row r="517" spans="1:11" ht="15.6" x14ac:dyDescent="0.3">
      <c r="A517" s="141"/>
      <c r="B517" s="300"/>
      <c r="C517" s="141"/>
      <c r="D517" s="142"/>
      <c r="E517" s="142"/>
      <c r="F517" s="142"/>
      <c r="G517" s="142"/>
      <c r="H517" s="142"/>
      <c r="I517" s="142"/>
      <c r="J517" s="142"/>
      <c r="K517" s="143"/>
    </row>
    <row r="518" spans="1:11" ht="15.6" x14ac:dyDescent="0.3">
      <c r="A518" s="280"/>
      <c r="B518" s="280"/>
      <c r="C518" s="280"/>
      <c r="D518" s="279"/>
      <c r="E518" s="279"/>
      <c r="F518" s="279"/>
      <c r="G518" s="279"/>
      <c r="H518" s="279"/>
      <c r="I518" s="279"/>
      <c r="J518" s="279"/>
      <c r="K518" s="280"/>
    </row>
    <row r="519" spans="1:11" ht="16.2" thickBot="1" x14ac:dyDescent="0.35">
      <c r="A519" s="362" t="s">
        <v>1269</v>
      </c>
      <c r="B519" s="309"/>
      <c r="C519" s="363"/>
      <c r="D519" s="363"/>
      <c r="E519" s="363"/>
      <c r="F519" s="363"/>
      <c r="G519" s="363"/>
      <c r="H519" s="363"/>
      <c r="I519" s="363"/>
      <c r="J519" s="363"/>
      <c r="K519" s="420"/>
    </row>
    <row r="520" spans="1:11" ht="27.6" thickBot="1" x14ac:dyDescent="0.35">
      <c r="A520" s="354" t="s">
        <v>0</v>
      </c>
      <c r="B520" s="295" t="s">
        <v>1</v>
      </c>
      <c r="C520" s="354" t="s">
        <v>2</v>
      </c>
      <c r="D520" s="355" t="s">
        <v>854</v>
      </c>
      <c r="E520" s="573" t="s">
        <v>855</v>
      </c>
      <c r="F520" s="574"/>
      <c r="G520" s="574"/>
      <c r="H520" s="575"/>
      <c r="I520" s="416"/>
      <c r="J520" s="357" t="s">
        <v>856</v>
      </c>
      <c r="K520" s="295" t="s">
        <v>3</v>
      </c>
    </row>
    <row r="521" spans="1:11" ht="16.2" thickBot="1" x14ac:dyDescent="0.35">
      <c r="A521" s="315">
        <v>1</v>
      </c>
      <c r="B521" s="131" t="s">
        <v>1181</v>
      </c>
      <c r="C521" s="315">
        <v>2556</v>
      </c>
      <c r="D521" s="281">
        <v>2744</v>
      </c>
      <c r="E521" s="281"/>
      <c r="F521" s="281"/>
      <c r="G521" s="281"/>
      <c r="H521" s="281"/>
      <c r="I521" s="281"/>
      <c r="J521" s="281">
        <f>D521-E521-F521-G521-H521</f>
        <v>2744</v>
      </c>
      <c r="K521" s="281"/>
    </row>
    <row r="522" spans="1:11" ht="16.2" thickBot="1" x14ac:dyDescent="0.35">
      <c r="A522" s="315">
        <v>2</v>
      </c>
      <c r="B522" s="131" t="s">
        <v>276</v>
      </c>
      <c r="C522" s="315">
        <v>2557</v>
      </c>
      <c r="D522" s="281">
        <v>2744</v>
      </c>
      <c r="E522" s="281"/>
      <c r="F522" s="281"/>
      <c r="G522" s="281"/>
      <c r="H522" s="281"/>
      <c r="I522" s="281"/>
      <c r="J522" s="281">
        <f>D522-E522-F522-G522-H522</f>
        <v>2744</v>
      </c>
      <c r="K522" s="281"/>
    </row>
    <row r="523" spans="1:11" ht="16.2" thickBot="1" x14ac:dyDescent="0.35">
      <c r="A523" s="283">
        <v>4</v>
      </c>
      <c r="B523" s="135" t="s">
        <v>1182</v>
      </c>
      <c r="C523" s="316">
        <v>2558</v>
      </c>
      <c r="D523" s="281">
        <v>2744</v>
      </c>
      <c r="E523" s="284"/>
      <c r="F523" s="284"/>
      <c r="G523" s="284"/>
      <c r="H523" s="284"/>
      <c r="I523" s="284"/>
      <c r="J523" s="284">
        <f>D523-E523-F523-G523-H523</f>
        <v>2744</v>
      </c>
      <c r="K523" s="284"/>
    </row>
    <row r="524" spans="1:11" ht="15.6" x14ac:dyDescent="0.3">
      <c r="A524" s="145"/>
      <c r="B524" s="146"/>
      <c r="C524" s="145"/>
      <c r="D524" s="494">
        <f>SUM(D521:D523)</f>
        <v>8232</v>
      </c>
      <c r="E524" s="494">
        <f t="shared" ref="E524:J524" si="95">SUM(E521:E523)</f>
        <v>0</v>
      </c>
      <c r="F524" s="494">
        <f t="shared" si="95"/>
        <v>0</v>
      </c>
      <c r="G524" s="494">
        <f t="shared" si="95"/>
        <v>0</v>
      </c>
      <c r="H524" s="494">
        <f t="shared" si="95"/>
        <v>0</v>
      </c>
      <c r="I524" s="494">
        <f t="shared" si="95"/>
        <v>0</v>
      </c>
      <c r="J524" s="494">
        <f t="shared" si="95"/>
        <v>8232</v>
      </c>
      <c r="K524" s="147"/>
    </row>
    <row r="525" spans="1:11" ht="15.6" x14ac:dyDescent="0.3">
      <c r="A525" s="141"/>
      <c r="B525" s="300"/>
      <c r="C525" s="141"/>
      <c r="D525" s="142"/>
      <c r="E525" s="142"/>
      <c r="F525" s="142"/>
      <c r="G525" s="142"/>
      <c r="H525" s="142"/>
      <c r="I525" s="142"/>
      <c r="J525" s="142"/>
      <c r="K525" s="143"/>
    </row>
    <row r="526" spans="1:11" ht="15.6" x14ac:dyDescent="0.3">
      <c r="A526" s="280"/>
      <c r="B526" s="280"/>
      <c r="C526" s="280"/>
      <c r="D526" s="279"/>
      <c r="E526" s="279"/>
      <c r="F526" s="279"/>
      <c r="G526" s="279"/>
      <c r="H526" s="279"/>
      <c r="I526" s="279"/>
      <c r="J526" s="279"/>
      <c r="K526" s="280"/>
    </row>
    <row r="527" spans="1:11" ht="16.2" thickBot="1" x14ac:dyDescent="0.35">
      <c r="A527" s="362" t="s">
        <v>5</v>
      </c>
      <c r="B527" s="309"/>
      <c r="C527" s="363"/>
      <c r="D527" s="363"/>
      <c r="E527" s="363"/>
      <c r="F527" s="363"/>
      <c r="G527" s="363"/>
      <c r="H527" s="363"/>
      <c r="I527" s="363"/>
      <c r="J527" s="363"/>
      <c r="K527" s="420"/>
    </row>
    <row r="528" spans="1:11" ht="27.6" thickBot="1" x14ac:dyDescent="0.35">
      <c r="A528" s="354" t="s">
        <v>0</v>
      </c>
      <c r="B528" s="295" t="s">
        <v>1</v>
      </c>
      <c r="C528" s="354" t="s">
        <v>2</v>
      </c>
      <c r="D528" s="355" t="s">
        <v>854</v>
      </c>
      <c r="E528" s="573" t="s">
        <v>855</v>
      </c>
      <c r="F528" s="574"/>
      <c r="G528" s="574"/>
      <c r="H528" s="575"/>
      <c r="I528" s="416"/>
      <c r="J528" s="357" t="s">
        <v>856</v>
      </c>
      <c r="K528" s="295" t="s">
        <v>3</v>
      </c>
    </row>
    <row r="529" spans="1:11" ht="16.2" thickBot="1" x14ac:dyDescent="0.35">
      <c r="A529" s="315">
        <v>1</v>
      </c>
      <c r="B529" s="131" t="s">
        <v>1507</v>
      </c>
      <c r="C529" s="315"/>
      <c r="D529" s="281">
        <v>5578</v>
      </c>
      <c r="E529" s="281">
        <v>2040</v>
      </c>
      <c r="F529" s="281">
        <v>2000</v>
      </c>
      <c r="G529" s="281"/>
      <c r="H529" s="281"/>
      <c r="I529" s="281">
        <f>SUM(E529:H529)</f>
        <v>4040</v>
      </c>
      <c r="J529" s="281">
        <f>D529-E529-F529-G529-H529</f>
        <v>1538</v>
      </c>
      <c r="K529" s="281" t="s">
        <v>1603</v>
      </c>
    </row>
    <row r="530" spans="1:11" ht="16.2" thickBot="1" x14ac:dyDescent="0.35">
      <c r="A530" s="315">
        <v>2</v>
      </c>
      <c r="B530" s="131" t="s">
        <v>1590</v>
      </c>
      <c r="C530" s="315"/>
      <c r="D530" s="281">
        <v>5578</v>
      </c>
      <c r="E530" s="281">
        <v>3100</v>
      </c>
      <c r="F530" s="281"/>
      <c r="G530" s="281"/>
      <c r="H530" s="281"/>
      <c r="I530" s="281">
        <f>SUM(E530:H530)</f>
        <v>3100</v>
      </c>
      <c r="J530" s="281">
        <f>D530-E530-F530-G530-H530</f>
        <v>2478</v>
      </c>
      <c r="K530" s="281" t="s">
        <v>1603</v>
      </c>
    </row>
    <row r="531" spans="1:11" ht="16.2" thickBot="1" x14ac:dyDescent="0.35">
      <c r="A531" s="316">
        <v>3</v>
      </c>
      <c r="B531" s="135"/>
      <c r="C531" s="316"/>
      <c r="D531" s="499">
        <f>SUM(D529:D530)</f>
        <v>11156</v>
      </c>
      <c r="E531" s="499">
        <f t="shared" ref="E531:J531" si="96">SUM(E529:E530)</f>
        <v>5140</v>
      </c>
      <c r="F531" s="499">
        <f t="shared" si="96"/>
        <v>2000</v>
      </c>
      <c r="G531" s="499">
        <f t="shared" si="96"/>
        <v>0</v>
      </c>
      <c r="H531" s="499">
        <f t="shared" si="96"/>
        <v>0</v>
      </c>
      <c r="I531" s="499">
        <f t="shared" si="96"/>
        <v>7140</v>
      </c>
      <c r="J531" s="499">
        <f t="shared" si="96"/>
        <v>4016</v>
      </c>
      <c r="K531" s="284"/>
    </row>
    <row r="532" spans="1:11" ht="15.6" x14ac:dyDescent="0.3">
      <c r="A532" s="145"/>
      <c r="B532" s="146"/>
      <c r="C532" s="145"/>
      <c r="D532" s="147"/>
      <c r="E532" s="147"/>
      <c r="F532" s="147"/>
      <c r="G532" s="147"/>
      <c r="H532" s="147"/>
      <c r="I532" s="147"/>
      <c r="J532" s="147"/>
      <c r="K532" s="147"/>
    </row>
    <row r="533" spans="1:11" ht="15.6" x14ac:dyDescent="0.3">
      <c r="A533" s="141"/>
      <c r="B533" s="300"/>
      <c r="C533" s="141"/>
      <c r="D533" s="142"/>
      <c r="E533" s="142"/>
      <c r="F533" s="142"/>
      <c r="G533" s="142"/>
      <c r="H533" s="142"/>
      <c r="I533" s="142"/>
      <c r="J533" s="142"/>
      <c r="K533" s="142"/>
    </row>
    <row r="534" spans="1:11" ht="15.6" x14ac:dyDescent="0.3">
      <c r="A534" s="361"/>
      <c r="B534" s="303"/>
      <c r="C534" s="361"/>
      <c r="D534" s="279"/>
      <c r="E534" s="279"/>
      <c r="F534" s="279"/>
      <c r="G534" s="279"/>
      <c r="H534" s="279"/>
      <c r="I534" s="279"/>
      <c r="J534" s="279"/>
      <c r="K534" s="279"/>
    </row>
    <row r="535" spans="1:11" ht="16.2" thickBot="1" x14ac:dyDescent="0.35">
      <c r="A535" s="362" t="s">
        <v>1270</v>
      </c>
      <c r="B535" s="309"/>
      <c r="C535" s="363"/>
      <c r="D535" s="363"/>
      <c r="E535" s="363"/>
      <c r="F535" s="363"/>
      <c r="G535" s="363"/>
      <c r="H535" s="363"/>
      <c r="I535" s="363"/>
      <c r="J535" s="363"/>
      <c r="K535" s="420"/>
    </row>
    <row r="536" spans="1:11" ht="27.6" thickBot="1" x14ac:dyDescent="0.35">
      <c r="A536" s="354" t="s">
        <v>0</v>
      </c>
      <c r="B536" s="295" t="s">
        <v>1</v>
      </c>
      <c r="C536" s="354" t="s">
        <v>2</v>
      </c>
      <c r="D536" s="355" t="s">
        <v>854</v>
      </c>
      <c r="E536" s="573" t="s">
        <v>855</v>
      </c>
      <c r="F536" s="574"/>
      <c r="G536" s="574"/>
      <c r="H536" s="575"/>
      <c r="I536" s="416"/>
      <c r="J536" s="357" t="s">
        <v>856</v>
      </c>
      <c r="K536" s="295" t="s">
        <v>3</v>
      </c>
    </row>
    <row r="537" spans="1:11" ht="16.2" thickBot="1" x14ac:dyDescent="0.35">
      <c r="A537" s="315">
        <v>1</v>
      </c>
      <c r="B537" s="112" t="s">
        <v>630</v>
      </c>
      <c r="C537" s="292">
        <v>3168</v>
      </c>
      <c r="D537" s="281">
        <v>3203</v>
      </c>
      <c r="E537" s="281">
        <v>2000</v>
      </c>
      <c r="F537" s="281"/>
      <c r="G537" s="281"/>
      <c r="H537" s="281"/>
      <c r="I537" s="281"/>
      <c r="J537" s="281">
        <f t="shared" ref="J537:J540" si="97">D537-E537-F537-G537-H537</f>
        <v>1203</v>
      </c>
      <c r="K537" s="281"/>
    </row>
    <row r="538" spans="1:11" ht="16.2" thickBot="1" x14ac:dyDescent="0.35">
      <c r="A538" s="315">
        <v>2</v>
      </c>
      <c r="B538" s="131" t="s">
        <v>862</v>
      </c>
      <c r="C538" s="315">
        <v>3170</v>
      </c>
      <c r="D538" s="281">
        <v>3203</v>
      </c>
      <c r="E538" s="281"/>
      <c r="F538" s="281"/>
      <c r="G538" s="281"/>
      <c r="H538" s="281"/>
      <c r="I538" s="281"/>
      <c r="J538" s="281">
        <f t="shared" si="97"/>
        <v>3203</v>
      </c>
      <c r="K538" s="281"/>
    </row>
    <row r="539" spans="1:11" ht="16.2" thickBot="1" x14ac:dyDescent="0.35">
      <c r="A539" s="315">
        <v>3</v>
      </c>
      <c r="B539" s="112" t="s">
        <v>987</v>
      </c>
      <c r="C539" s="292">
        <v>3169</v>
      </c>
      <c r="D539" s="281">
        <v>3203</v>
      </c>
      <c r="E539" s="281">
        <v>1000</v>
      </c>
      <c r="F539" s="281"/>
      <c r="G539" s="281"/>
      <c r="H539" s="281"/>
      <c r="I539" s="281"/>
      <c r="J539" s="281">
        <f t="shared" si="97"/>
        <v>2203</v>
      </c>
      <c r="K539" s="281" t="s">
        <v>1661</v>
      </c>
    </row>
    <row r="540" spans="1:11" ht="16.2" thickBot="1" x14ac:dyDescent="0.35">
      <c r="A540" s="283">
        <v>4</v>
      </c>
      <c r="B540" s="135" t="s">
        <v>1194</v>
      </c>
      <c r="C540" s="316"/>
      <c r="D540" s="281">
        <v>3203</v>
      </c>
      <c r="E540" s="284"/>
      <c r="F540" s="284"/>
      <c r="G540" s="284"/>
      <c r="H540" s="284"/>
      <c r="I540" s="284"/>
      <c r="J540" s="284">
        <f t="shared" si="97"/>
        <v>3203</v>
      </c>
      <c r="K540" s="284"/>
    </row>
    <row r="541" spans="1:11" ht="16.2" thickBot="1" x14ac:dyDescent="0.35">
      <c r="A541" s="373"/>
      <c r="B541" s="131" t="s">
        <v>576</v>
      </c>
      <c r="C541" s="315"/>
      <c r="D541" s="281">
        <v>3203</v>
      </c>
      <c r="E541" s="281">
        <v>2669</v>
      </c>
      <c r="F541" s="281">
        <v>1191</v>
      </c>
      <c r="G541" s="281"/>
      <c r="H541" s="281"/>
      <c r="I541" s="281"/>
      <c r="J541" s="281">
        <f>D541-E541-F541-G541-H541</f>
        <v>-657</v>
      </c>
      <c r="K541" s="147" t="s">
        <v>1395</v>
      </c>
    </row>
    <row r="542" spans="1:11" ht="15.6" x14ac:dyDescent="0.3">
      <c r="A542" s="277"/>
      <c r="B542" s="188"/>
      <c r="C542" s="277"/>
      <c r="D542" s="495">
        <f>SUM(D537:D541)</f>
        <v>16015</v>
      </c>
      <c r="E542" s="495">
        <f t="shared" ref="E542:J542" si="98">SUM(E537:E541)</f>
        <v>5669</v>
      </c>
      <c r="F542" s="495">
        <f t="shared" si="98"/>
        <v>1191</v>
      </c>
      <c r="G542" s="495">
        <f t="shared" si="98"/>
        <v>0</v>
      </c>
      <c r="H542" s="495">
        <f t="shared" si="98"/>
        <v>0</v>
      </c>
      <c r="I542" s="495">
        <f t="shared" si="98"/>
        <v>0</v>
      </c>
      <c r="J542" s="495">
        <f t="shared" si="98"/>
        <v>9155</v>
      </c>
      <c r="K542" s="142"/>
    </row>
    <row r="543" spans="1:11" ht="15.6" x14ac:dyDescent="0.3">
      <c r="A543" s="280"/>
      <c r="B543" s="280"/>
      <c r="C543" s="280"/>
      <c r="D543" s="279"/>
      <c r="E543" s="279"/>
      <c r="F543" s="279"/>
      <c r="G543" s="279"/>
      <c r="H543" s="279"/>
      <c r="I543" s="279"/>
      <c r="J543" s="279"/>
      <c r="K543" s="280"/>
    </row>
    <row r="544" spans="1:11" ht="16.2" thickBot="1" x14ac:dyDescent="0.35">
      <c r="A544" s="362" t="s">
        <v>1271</v>
      </c>
      <c r="B544" s="309"/>
      <c r="C544" s="363"/>
      <c r="D544" s="363"/>
      <c r="E544" s="363"/>
      <c r="F544" s="363"/>
      <c r="G544" s="363"/>
      <c r="H544" s="363"/>
      <c r="I544" s="363"/>
      <c r="J544" s="363"/>
      <c r="K544" s="420"/>
    </row>
    <row r="545" spans="1:11" ht="27.6" thickBot="1" x14ac:dyDescent="0.35">
      <c r="A545" s="354" t="s">
        <v>0</v>
      </c>
      <c r="B545" s="295" t="s">
        <v>1</v>
      </c>
      <c r="C545" s="354" t="s">
        <v>2</v>
      </c>
      <c r="D545" s="355" t="s">
        <v>854</v>
      </c>
      <c r="E545" s="573" t="s">
        <v>855</v>
      </c>
      <c r="F545" s="574"/>
      <c r="G545" s="574"/>
      <c r="H545" s="575"/>
      <c r="I545" s="416"/>
      <c r="J545" s="357" t="s">
        <v>856</v>
      </c>
      <c r="K545" s="295" t="s">
        <v>3</v>
      </c>
    </row>
    <row r="546" spans="1:11" ht="16.2" thickBot="1" x14ac:dyDescent="0.35">
      <c r="A546" s="292">
        <v>1</v>
      </c>
      <c r="B546" s="131" t="s">
        <v>631</v>
      </c>
      <c r="C546" s="292">
        <v>2618</v>
      </c>
      <c r="D546" s="281">
        <v>2744</v>
      </c>
      <c r="E546" s="281">
        <v>1333</v>
      </c>
      <c r="F546" s="281"/>
      <c r="G546" s="281"/>
      <c r="H546" s="281"/>
      <c r="I546" s="281">
        <f>SUM(E546:H546)</f>
        <v>1333</v>
      </c>
      <c r="J546" s="281">
        <f t="shared" ref="J546:J550" si="99">D546-E546-F546-G546-H546</f>
        <v>1411</v>
      </c>
      <c r="K546" s="281"/>
    </row>
    <row r="547" spans="1:11" ht="16.2" thickBot="1" x14ac:dyDescent="0.35">
      <c r="A547" s="292">
        <v>2</v>
      </c>
      <c r="B547" s="112" t="s">
        <v>917</v>
      </c>
      <c r="C547" s="292">
        <v>2619</v>
      </c>
      <c r="D547" s="281">
        <v>2744</v>
      </c>
      <c r="E547" s="281">
        <v>801</v>
      </c>
      <c r="F547" s="281"/>
      <c r="G547" s="281"/>
      <c r="H547" s="281"/>
      <c r="I547" s="281">
        <f t="shared" ref="I547:I549" si="100">SUM(E547:H547)</f>
        <v>801</v>
      </c>
      <c r="J547" s="281">
        <f t="shared" si="99"/>
        <v>1943</v>
      </c>
      <c r="K547" s="281"/>
    </row>
    <row r="548" spans="1:11" ht="16.2" thickBot="1" x14ac:dyDescent="0.35">
      <c r="A548" s="292">
        <v>3</v>
      </c>
      <c r="B548" s="112" t="s">
        <v>964</v>
      </c>
      <c r="C548" s="292">
        <v>2620</v>
      </c>
      <c r="D548" s="281">
        <v>2744</v>
      </c>
      <c r="E548" s="281">
        <v>350</v>
      </c>
      <c r="F548" s="281"/>
      <c r="G548" s="281"/>
      <c r="H548" s="281"/>
      <c r="I548" s="281">
        <f t="shared" si="100"/>
        <v>350</v>
      </c>
      <c r="J548" s="281">
        <f t="shared" si="99"/>
        <v>2394</v>
      </c>
      <c r="K548" s="281"/>
    </row>
    <row r="549" spans="1:11" ht="16.2" thickBot="1" x14ac:dyDescent="0.35">
      <c r="A549" s="292">
        <v>4</v>
      </c>
      <c r="B549" s="112" t="s">
        <v>970</v>
      </c>
      <c r="C549" s="292">
        <v>2617</v>
      </c>
      <c r="D549" s="281">
        <v>2744</v>
      </c>
      <c r="E549" s="281">
        <v>2000</v>
      </c>
      <c r="F549" s="281"/>
      <c r="G549" s="281"/>
      <c r="H549" s="281"/>
      <c r="I549" s="281">
        <f t="shared" si="100"/>
        <v>2000</v>
      </c>
      <c r="J549" s="281">
        <f t="shared" si="99"/>
        <v>744</v>
      </c>
      <c r="K549" s="281"/>
    </row>
    <row r="550" spans="1:11" ht="16.2" thickBot="1" x14ac:dyDescent="0.35">
      <c r="A550" s="316">
        <v>5</v>
      </c>
      <c r="B550" s="135" t="s">
        <v>1195</v>
      </c>
      <c r="C550" s="316">
        <v>2579</v>
      </c>
      <c r="D550" s="281">
        <v>2744</v>
      </c>
      <c r="E550" s="284"/>
      <c r="F550" s="284"/>
      <c r="G550" s="284"/>
      <c r="H550" s="284"/>
      <c r="I550" s="284"/>
      <c r="J550" s="284">
        <f t="shared" si="99"/>
        <v>2744</v>
      </c>
      <c r="K550" s="284"/>
    </row>
    <row r="551" spans="1:11" ht="15.6" x14ac:dyDescent="0.3">
      <c r="A551" s="145"/>
      <c r="B551" s="146"/>
      <c r="C551" s="145"/>
      <c r="D551" s="494">
        <f>SUM(D546:D550)</f>
        <v>13720</v>
      </c>
      <c r="E551" s="494">
        <f t="shared" ref="E551:J551" si="101">SUM(E546:E550)</f>
        <v>4484</v>
      </c>
      <c r="F551" s="494">
        <f t="shared" si="101"/>
        <v>0</v>
      </c>
      <c r="G551" s="494">
        <f t="shared" si="101"/>
        <v>0</v>
      </c>
      <c r="H551" s="494">
        <f t="shared" si="101"/>
        <v>0</v>
      </c>
      <c r="I551" s="494">
        <f t="shared" si="101"/>
        <v>4484</v>
      </c>
      <c r="J551" s="494">
        <f t="shared" si="101"/>
        <v>9236</v>
      </c>
      <c r="K551" s="147"/>
    </row>
    <row r="552" spans="1:11" ht="15.6" x14ac:dyDescent="0.3">
      <c r="A552" s="141"/>
      <c r="B552" s="143"/>
      <c r="C552" s="143"/>
      <c r="D552" s="142"/>
      <c r="E552" s="142"/>
      <c r="F552" s="142"/>
      <c r="G552" s="142"/>
      <c r="H552" s="142"/>
      <c r="I552" s="142"/>
      <c r="J552" s="142"/>
      <c r="K552" s="143"/>
    </row>
    <row r="553" spans="1:11" ht="15.6" x14ac:dyDescent="0.3">
      <c r="A553" s="361"/>
      <c r="B553" s="303"/>
      <c r="C553" s="361"/>
      <c r="D553" s="279"/>
      <c r="E553" s="279"/>
      <c r="F553" s="279"/>
      <c r="G553" s="279"/>
      <c r="H553" s="279"/>
      <c r="I553" s="279"/>
      <c r="J553" s="279"/>
      <c r="K553" s="280"/>
    </row>
    <row r="554" spans="1:11" ht="15.6" x14ac:dyDescent="0.3">
      <c r="A554" s="141"/>
      <c r="B554" s="144"/>
      <c r="C554" s="141"/>
      <c r="D554" s="142"/>
      <c r="E554" s="142"/>
      <c r="F554" s="142"/>
      <c r="G554" s="142"/>
      <c r="H554" s="142"/>
      <c r="I554" s="142"/>
      <c r="J554" s="142"/>
      <c r="K554" s="143"/>
    </row>
    <row r="555" spans="1:11" ht="15.6" x14ac:dyDescent="0.3">
      <c r="A555" s="280"/>
      <c r="B555" s="280"/>
      <c r="C555" s="280"/>
      <c r="D555" s="279"/>
      <c r="E555" s="279"/>
      <c r="F555" s="279"/>
      <c r="G555" s="279"/>
      <c r="H555" s="279"/>
      <c r="I555" s="279"/>
      <c r="J555" s="279"/>
      <c r="K555" s="280"/>
    </row>
    <row r="556" spans="1:11" ht="16.2" thickBot="1" x14ac:dyDescent="0.35">
      <c r="A556" s="362" t="s">
        <v>1272</v>
      </c>
      <c r="B556" s="309"/>
      <c r="C556" s="363"/>
      <c r="D556" s="363"/>
      <c r="E556" s="363"/>
      <c r="F556" s="363"/>
      <c r="G556" s="363"/>
      <c r="H556" s="363"/>
      <c r="I556" s="363"/>
      <c r="J556" s="363"/>
      <c r="K556" s="420"/>
    </row>
    <row r="557" spans="1:11" ht="27.6" thickBot="1" x14ac:dyDescent="0.35">
      <c r="A557" s="354" t="s">
        <v>0</v>
      </c>
      <c r="B557" s="295" t="s">
        <v>1</v>
      </c>
      <c r="C557" s="354" t="s">
        <v>2</v>
      </c>
      <c r="D557" s="355" t="s">
        <v>854</v>
      </c>
      <c r="E557" s="573" t="s">
        <v>855</v>
      </c>
      <c r="F557" s="574"/>
      <c r="G557" s="574"/>
      <c r="H557" s="575"/>
      <c r="I557" s="416"/>
      <c r="J557" s="357" t="s">
        <v>856</v>
      </c>
      <c r="K557" s="295" t="s">
        <v>3</v>
      </c>
    </row>
    <row r="558" spans="1:11" ht="16.2" thickBot="1" x14ac:dyDescent="0.35">
      <c r="A558" s="292">
        <v>1</v>
      </c>
      <c r="B558" s="317" t="s">
        <v>632</v>
      </c>
      <c r="C558" s="315"/>
      <c r="D558" s="281">
        <v>3203</v>
      </c>
      <c r="E558" s="281"/>
      <c r="F558" s="281"/>
      <c r="G558" s="281"/>
      <c r="H558" s="281"/>
      <c r="I558" s="281">
        <f>SUM(E558:H558)</f>
        <v>0</v>
      </c>
      <c r="J558" s="281">
        <f t="shared" ref="J558:J559" si="102">D558-E558-F558-G558-H558</f>
        <v>3203</v>
      </c>
      <c r="K558" s="281"/>
    </row>
    <row r="559" spans="1:11" ht="16.2" thickBot="1" x14ac:dyDescent="0.35">
      <c r="A559" s="292">
        <v>3</v>
      </c>
      <c r="B559" s="112" t="s">
        <v>962</v>
      </c>
      <c r="C559" s="292"/>
      <c r="D559" s="281">
        <v>3203</v>
      </c>
      <c r="E559" s="281"/>
      <c r="F559" s="281"/>
      <c r="G559" s="281"/>
      <c r="H559" s="281"/>
      <c r="I559" s="281">
        <f t="shared" ref="I559" si="103">SUM(E559:H559)</f>
        <v>0</v>
      </c>
      <c r="J559" s="281">
        <f t="shared" si="102"/>
        <v>3203</v>
      </c>
      <c r="K559" s="281"/>
    </row>
    <row r="560" spans="1:11" ht="15.6" x14ac:dyDescent="0.3">
      <c r="A560" s="145"/>
      <c r="B560" s="146"/>
      <c r="C560" s="145"/>
      <c r="D560" s="494">
        <f>SUM(D558:D559)</f>
        <v>6406</v>
      </c>
      <c r="E560" s="494">
        <f t="shared" ref="E560:J560" si="104">SUM(E558:E559)</f>
        <v>0</v>
      </c>
      <c r="F560" s="494">
        <f t="shared" si="104"/>
        <v>0</v>
      </c>
      <c r="G560" s="494">
        <f t="shared" si="104"/>
        <v>0</v>
      </c>
      <c r="H560" s="494">
        <f t="shared" si="104"/>
        <v>0</v>
      </c>
      <c r="I560" s="494">
        <f t="shared" si="104"/>
        <v>0</v>
      </c>
      <c r="J560" s="494">
        <f t="shared" si="104"/>
        <v>6406</v>
      </c>
      <c r="K560" s="147"/>
    </row>
    <row r="561" spans="1:11" ht="15.6" x14ac:dyDescent="0.3">
      <c r="A561" s="141"/>
      <c r="B561" s="300"/>
      <c r="C561" s="141"/>
      <c r="D561" s="142"/>
      <c r="E561" s="142"/>
      <c r="F561" s="142"/>
      <c r="G561" s="142"/>
      <c r="H561" s="142"/>
      <c r="I561" s="142"/>
      <c r="J561" s="142"/>
      <c r="K561" s="143"/>
    </row>
    <row r="562" spans="1:11" ht="15.6" x14ac:dyDescent="0.3">
      <c r="A562" s="361"/>
      <c r="B562" s="303"/>
      <c r="C562" s="361"/>
      <c r="D562" s="279"/>
      <c r="E562" s="279"/>
      <c r="F562" s="279"/>
      <c r="G562" s="279"/>
      <c r="H562" s="279"/>
      <c r="I562" s="279"/>
      <c r="J562" s="279"/>
      <c r="K562" s="280"/>
    </row>
    <row r="563" spans="1:11" ht="16.2" thickBot="1" x14ac:dyDescent="0.35">
      <c r="A563" s="362" t="s">
        <v>635</v>
      </c>
      <c r="B563" s="309"/>
      <c r="C563" s="363"/>
      <c r="D563" s="363"/>
      <c r="E563" s="363"/>
      <c r="F563" s="363"/>
      <c r="G563" s="363"/>
      <c r="H563" s="363"/>
      <c r="I563" s="363"/>
      <c r="J563" s="363"/>
      <c r="K563" s="420"/>
    </row>
    <row r="564" spans="1:11" ht="27.6" thickBot="1" x14ac:dyDescent="0.35">
      <c r="A564" s="354" t="s">
        <v>0</v>
      </c>
      <c r="B564" s="295" t="s">
        <v>1</v>
      </c>
      <c r="C564" s="354" t="s">
        <v>2</v>
      </c>
      <c r="D564" s="355" t="s">
        <v>854</v>
      </c>
      <c r="E564" s="573" t="s">
        <v>855</v>
      </c>
      <c r="F564" s="574"/>
      <c r="G564" s="574"/>
      <c r="H564" s="575"/>
      <c r="I564" s="416"/>
      <c r="J564" s="357" t="s">
        <v>856</v>
      </c>
      <c r="K564" s="295" t="s">
        <v>3</v>
      </c>
    </row>
    <row r="565" spans="1:11" ht="16.2" thickBot="1" x14ac:dyDescent="0.35">
      <c r="A565" s="292">
        <v>1</v>
      </c>
      <c r="B565" s="112" t="s">
        <v>1348</v>
      </c>
      <c r="C565" s="292"/>
      <c r="D565" s="281">
        <v>5578</v>
      </c>
      <c r="E565" s="281">
        <v>5000</v>
      </c>
      <c r="F565" s="281">
        <v>578</v>
      </c>
      <c r="G565" s="281"/>
      <c r="H565" s="281"/>
      <c r="I565" s="281">
        <f>SUM(E565:H565)</f>
        <v>5578</v>
      </c>
      <c r="J565" s="281">
        <f t="shared" ref="J565:J567" si="105">D565-E565-F565-G565-H565</f>
        <v>0</v>
      </c>
      <c r="K565" s="281" t="s">
        <v>1723</v>
      </c>
    </row>
    <row r="566" spans="1:11" ht="16.2" thickBot="1" x14ac:dyDescent="0.35">
      <c r="A566" s="292">
        <v>2</v>
      </c>
      <c r="B566" s="112" t="s">
        <v>1388</v>
      </c>
      <c r="C566" s="292"/>
      <c r="D566" s="281">
        <v>5578</v>
      </c>
      <c r="E566" s="281">
        <v>4400</v>
      </c>
      <c r="F566" s="281"/>
      <c r="G566" s="281"/>
      <c r="H566" s="281"/>
      <c r="I566" s="281">
        <f t="shared" ref="I566:I567" si="106">SUM(E566:H566)</f>
        <v>4400</v>
      </c>
      <c r="J566" s="281">
        <f t="shared" si="105"/>
        <v>1178</v>
      </c>
      <c r="K566" s="281" t="s">
        <v>1395</v>
      </c>
    </row>
    <row r="567" spans="1:11" ht="16.2" thickBot="1" x14ac:dyDescent="0.35">
      <c r="A567" s="292">
        <v>3</v>
      </c>
      <c r="B567" s="299"/>
      <c r="C567" s="437"/>
      <c r="D567" s="281">
        <v>5578</v>
      </c>
      <c r="E567" s="281"/>
      <c r="F567" s="281"/>
      <c r="G567" s="281"/>
      <c r="H567" s="281"/>
      <c r="I567" s="281">
        <f t="shared" si="106"/>
        <v>0</v>
      </c>
      <c r="J567" s="281">
        <f t="shared" si="105"/>
        <v>5578</v>
      </c>
      <c r="K567" s="281"/>
    </row>
    <row r="568" spans="1:11" ht="15.6" x14ac:dyDescent="0.3">
      <c r="A568" s="141"/>
      <c r="B568" s="300"/>
      <c r="C568" s="141"/>
      <c r="D568" s="495">
        <f>SUM(D565:D567)</f>
        <v>16734</v>
      </c>
      <c r="E568" s="495">
        <f t="shared" ref="E568:J568" si="107">SUM(E565:E567)</f>
        <v>9400</v>
      </c>
      <c r="F568" s="495">
        <f t="shared" si="107"/>
        <v>578</v>
      </c>
      <c r="G568" s="495">
        <f t="shared" si="107"/>
        <v>0</v>
      </c>
      <c r="H568" s="495">
        <f t="shared" si="107"/>
        <v>0</v>
      </c>
      <c r="I568" s="495">
        <f t="shared" si="107"/>
        <v>9978</v>
      </c>
      <c r="J568" s="495">
        <f t="shared" si="107"/>
        <v>6756</v>
      </c>
      <c r="K568" s="142"/>
    </row>
    <row r="569" spans="1:11" ht="15.6" x14ac:dyDescent="0.3">
      <c r="A569" s="141"/>
      <c r="B569" s="300"/>
      <c r="C569" s="141"/>
      <c r="D569" s="142"/>
      <c r="E569" s="142"/>
      <c r="F569" s="142"/>
      <c r="G569" s="142"/>
      <c r="H569" s="142"/>
      <c r="I569" s="142"/>
      <c r="J569" s="142"/>
      <c r="K569" s="142"/>
    </row>
    <row r="570" spans="1:11" ht="15.6" x14ac:dyDescent="0.3">
      <c r="A570" s="141"/>
      <c r="B570" s="300"/>
      <c r="C570" s="141"/>
      <c r="D570" s="142"/>
      <c r="E570" s="142"/>
      <c r="F570" s="142"/>
      <c r="G570" s="142"/>
      <c r="H570" s="142"/>
      <c r="I570" s="142"/>
      <c r="J570" s="142"/>
      <c r="K570" s="142"/>
    </row>
    <row r="571" spans="1:11" ht="16.2" thickBot="1" x14ac:dyDescent="0.35">
      <c r="A571" s="362" t="s">
        <v>1273</v>
      </c>
      <c r="B571" s="309"/>
      <c r="C571" s="363"/>
      <c r="D571" s="363"/>
      <c r="E571" s="363"/>
      <c r="F571" s="363"/>
      <c r="G571" s="363"/>
      <c r="H571" s="363"/>
      <c r="I571" s="363"/>
      <c r="J571" s="363"/>
      <c r="K571" s="420"/>
    </row>
    <row r="572" spans="1:11" ht="27.6" thickBot="1" x14ac:dyDescent="0.35">
      <c r="A572" s="354" t="s">
        <v>0</v>
      </c>
      <c r="B572" s="295" t="s">
        <v>1</v>
      </c>
      <c r="C572" s="354" t="s">
        <v>2</v>
      </c>
      <c r="D572" s="355" t="s">
        <v>854</v>
      </c>
      <c r="E572" s="573" t="s">
        <v>855</v>
      </c>
      <c r="F572" s="574"/>
      <c r="G572" s="574"/>
      <c r="H572" s="575"/>
      <c r="I572" s="416"/>
      <c r="J572" s="357" t="s">
        <v>856</v>
      </c>
      <c r="K572" s="295" t="s">
        <v>3</v>
      </c>
    </row>
    <row r="573" spans="1:11" ht="16.2" thickBot="1" x14ac:dyDescent="0.35">
      <c r="A573" s="292">
        <v>1</v>
      </c>
      <c r="B573" s="112" t="s">
        <v>983</v>
      </c>
      <c r="C573" s="292">
        <v>3123</v>
      </c>
      <c r="D573" s="281">
        <v>3203</v>
      </c>
      <c r="E573" s="281">
        <v>1000</v>
      </c>
      <c r="F573" s="281"/>
      <c r="G573" s="281"/>
      <c r="H573" s="281"/>
      <c r="I573" s="281">
        <f>SUM(E573:H573)</f>
        <v>1000</v>
      </c>
      <c r="J573" s="281">
        <f t="shared" ref="J573:J581" si="108">D573-E573-F573-G573-H573</f>
        <v>2203</v>
      </c>
      <c r="K573" s="281"/>
    </row>
    <row r="574" spans="1:11" ht="16.2" thickBot="1" x14ac:dyDescent="0.35">
      <c r="A574" s="292">
        <v>2</v>
      </c>
      <c r="B574" s="112" t="s">
        <v>641</v>
      </c>
      <c r="C574" s="292">
        <v>3128</v>
      </c>
      <c r="D574" s="281">
        <v>3203</v>
      </c>
      <c r="E574" s="281"/>
      <c r="F574" s="281"/>
      <c r="G574" s="281"/>
      <c r="H574" s="281"/>
      <c r="I574" s="281">
        <f t="shared" ref="I574:I581" si="109">SUM(E574:H574)</f>
        <v>0</v>
      </c>
      <c r="J574" s="281">
        <f t="shared" si="108"/>
        <v>3203</v>
      </c>
      <c r="K574" s="281"/>
    </row>
    <row r="575" spans="1:11" ht="16.2" thickBot="1" x14ac:dyDescent="0.35">
      <c r="A575" s="292">
        <v>3</v>
      </c>
      <c r="B575" s="299" t="s">
        <v>640</v>
      </c>
      <c r="C575" s="437">
        <v>3129</v>
      </c>
      <c r="D575" s="281">
        <v>3203</v>
      </c>
      <c r="E575" s="281">
        <v>2000</v>
      </c>
      <c r="F575" s="281">
        <v>465</v>
      </c>
      <c r="G575" s="281"/>
      <c r="H575" s="281"/>
      <c r="I575" s="281">
        <f t="shared" si="109"/>
        <v>2465</v>
      </c>
      <c r="J575" s="281">
        <f t="shared" si="108"/>
        <v>738</v>
      </c>
      <c r="K575" s="281" t="s">
        <v>1666</v>
      </c>
    </row>
    <row r="576" spans="1:11" ht="16.2" thickBot="1" x14ac:dyDescent="0.35">
      <c r="A576" s="292">
        <v>4</v>
      </c>
      <c r="B576" s="112" t="s">
        <v>636</v>
      </c>
      <c r="C576" s="292">
        <v>3124</v>
      </c>
      <c r="D576" s="281">
        <v>3203</v>
      </c>
      <c r="E576" s="281">
        <v>1500</v>
      </c>
      <c r="F576" s="281">
        <v>1703</v>
      </c>
      <c r="G576" s="281"/>
      <c r="H576" s="281"/>
      <c r="I576" s="281">
        <f t="shared" si="109"/>
        <v>3203</v>
      </c>
      <c r="J576" s="281">
        <f t="shared" si="108"/>
        <v>0</v>
      </c>
      <c r="K576" s="351" t="s">
        <v>1395</v>
      </c>
    </row>
    <row r="577" spans="1:11" ht="16.2" thickBot="1" x14ac:dyDescent="0.35">
      <c r="A577" s="292">
        <v>5</v>
      </c>
      <c r="B577" s="112" t="s">
        <v>550</v>
      </c>
      <c r="C577" s="267">
        <v>3125</v>
      </c>
      <c r="D577" s="281">
        <v>3203</v>
      </c>
      <c r="E577" s="281">
        <v>1500</v>
      </c>
      <c r="F577" s="281">
        <v>1705</v>
      </c>
      <c r="G577" s="281"/>
      <c r="H577" s="281"/>
      <c r="I577" s="281">
        <f>SUM(E577:H577)</f>
        <v>3205</v>
      </c>
      <c r="J577" s="281">
        <f>D577-E577-F577-G577-H577</f>
        <v>-2</v>
      </c>
      <c r="K577" s="351" t="s">
        <v>1759</v>
      </c>
    </row>
    <row r="578" spans="1:11" ht="16.2" thickBot="1" x14ac:dyDescent="0.35">
      <c r="A578" s="292">
        <v>6</v>
      </c>
      <c r="B578" s="112" t="s">
        <v>637</v>
      </c>
      <c r="C578" s="292">
        <v>3127</v>
      </c>
      <c r="D578" s="281">
        <v>3203</v>
      </c>
      <c r="E578" s="281">
        <v>2000</v>
      </c>
      <c r="F578" s="281"/>
      <c r="G578" s="281"/>
      <c r="H578" s="281"/>
      <c r="I578" s="281">
        <f t="shared" si="109"/>
        <v>2000</v>
      </c>
      <c r="J578" s="281">
        <f t="shared" si="108"/>
        <v>1203</v>
      </c>
      <c r="K578" s="351" t="s">
        <v>1395</v>
      </c>
    </row>
    <row r="579" spans="1:11" ht="16.2" thickBot="1" x14ac:dyDescent="0.35">
      <c r="A579" s="292">
        <v>7</v>
      </c>
      <c r="B579" s="112" t="s">
        <v>877</v>
      </c>
      <c r="C579" s="292">
        <v>3126</v>
      </c>
      <c r="D579" s="281">
        <v>3203</v>
      </c>
      <c r="E579" s="281">
        <v>1500</v>
      </c>
      <c r="F579" s="281">
        <v>530</v>
      </c>
      <c r="G579" s="281">
        <v>1173</v>
      </c>
      <c r="H579" s="281"/>
      <c r="I579" s="281">
        <f t="shared" si="109"/>
        <v>3203</v>
      </c>
      <c r="J579" s="281">
        <f t="shared" si="108"/>
        <v>0</v>
      </c>
      <c r="K579" s="351" t="s">
        <v>1723</v>
      </c>
    </row>
    <row r="580" spans="1:11" ht="16.2" thickBot="1" x14ac:dyDescent="0.35">
      <c r="A580" s="292">
        <v>8</v>
      </c>
      <c r="B580" s="133" t="s">
        <v>898</v>
      </c>
      <c r="C580" s="292">
        <v>3201</v>
      </c>
      <c r="D580" s="281">
        <v>3203</v>
      </c>
      <c r="E580" s="281"/>
      <c r="F580" s="281"/>
      <c r="G580" s="281"/>
      <c r="H580" s="281"/>
      <c r="I580" s="281">
        <f t="shared" si="109"/>
        <v>0</v>
      </c>
      <c r="J580" s="281">
        <f t="shared" si="108"/>
        <v>3203</v>
      </c>
      <c r="K580" s="351"/>
    </row>
    <row r="581" spans="1:11" ht="16.2" thickBot="1" x14ac:dyDescent="0.35">
      <c r="A581" s="292">
        <v>9</v>
      </c>
      <c r="B581" s="135" t="s">
        <v>866</v>
      </c>
      <c r="C581" s="316">
        <v>3132</v>
      </c>
      <c r="D581" s="281">
        <v>3203</v>
      </c>
      <c r="E581" s="284"/>
      <c r="F581" s="284"/>
      <c r="G581" s="284"/>
      <c r="H581" s="284"/>
      <c r="I581" s="284">
        <f t="shared" si="109"/>
        <v>0</v>
      </c>
      <c r="J581" s="284">
        <f t="shared" si="108"/>
        <v>3203</v>
      </c>
      <c r="K581" s="352"/>
    </row>
    <row r="582" spans="1:11" ht="15.6" x14ac:dyDescent="0.3">
      <c r="A582" s="145"/>
      <c r="B582" s="146"/>
      <c r="C582" s="145"/>
      <c r="D582" s="494">
        <f>SUM(D573:D581)</f>
        <v>28827</v>
      </c>
      <c r="E582" s="494">
        <f t="shared" ref="E582:J582" si="110">SUM(E573:E581)</f>
        <v>9500</v>
      </c>
      <c r="F582" s="494">
        <f t="shared" si="110"/>
        <v>4403</v>
      </c>
      <c r="G582" s="494">
        <f t="shared" si="110"/>
        <v>1173</v>
      </c>
      <c r="H582" s="494">
        <f t="shared" si="110"/>
        <v>0</v>
      </c>
      <c r="I582" s="494">
        <f t="shared" si="110"/>
        <v>15076</v>
      </c>
      <c r="J582" s="494">
        <f t="shared" si="110"/>
        <v>13751</v>
      </c>
      <c r="K582" s="148"/>
    </row>
    <row r="583" spans="1:11" ht="15.6" x14ac:dyDescent="0.3">
      <c r="A583" s="141"/>
      <c r="B583" s="300"/>
      <c r="C583" s="360"/>
      <c r="D583" s="142"/>
      <c r="E583" s="142"/>
      <c r="F583" s="142"/>
      <c r="G583" s="142"/>
      <c r="H583" s="142"/>
      <c r="I583" s="142"/>
      <c r="J583" s="142"/>
      <c r="K583" s="143"/>
    </row>
    <row r="584" spans="1:11" ht="15.6" x14ac:dyDescent="0.3">
      <c r="A584" s="280"/>
      <c r="B584" s="280"/>
      <c r="C584" s="280"/>
      <c r="D584" s="279"/>
      <c r="E584" s="279"/>
      <c r="F584" s="279"/>
      <c r="G584" s="279"/>
      <c r="H584" s="279"/>
      <c r="I584" s="279"/>
      <c r="J584" s="279"/>
      <c r="K584" s="280"/>
    </row>
    <row r="585" spans="1:11" ht="15.6" x14ac:dyDescent="0.3">
      <c r="A585" s="143"/>
      <c r="B585" s="143"/>
      <c r="C585" s="143"/>
      <c r="D585" s="142"/>
      <c r="E585" s="142"/>
      <c r="F585" s="142"/>
      <c r="G585" s="142"/>
      <c r="H585" s="142"/>
      <c r="I585" s="142"/>
      <c r="J585" s="142"/>
      <c r="K585" s="143"/>
    </row>
    <row r="586" spans="1:11" ht="15.6" x14ac:dyDescent="0.3">
      <c r="A586" s="143"/>
      <c r="B586" s="143"/>
      <c r="C586" s="143"/>
      <c r="D586" s="142"/>
      <c r="E586" s="142"/>
      <c r="F586" s="142"/>
      <c r="G586" s="142"/>
      <c r="H586" s="142"/>
      <c r="I586" s="142"/>
      <c r="J586" s="142"/>
      <c r="K586" s="143"/>
    </row>
    <row r="587" spans="1:11" ht="16.2" thickBot="1" x14ac:dyDescent="0.35">
      <c r="A587" s="362" t="s">
        <v>1276</v>
      </c>
      <c r="B587" s="309"/>
      <c r="C587" s="363"/>
      <c r="D587" s="363"/>
      <c r="E587" s="363"/>
      <c r="F587" s="363"/>
      <c r="G587" s="363"/>
      <c r="H587" s="363"/>
      <c r="I587" s="363"/>
      <c r="J587" s="363"/>
      <c r="K587" s="420"/>
    </row>
    <row r="588" spans="1:11" ht="27.6" thickBot="1" x14ac:dyDescent="0.35">
      <c r="A588" s="354" t="s">
        <v>0</v>
      </c>
      <c r="B588" s="295" t="s">
        <v>1</v>
      </c>
      <c r="C588" s="354" t="s">
        <v>2</v>
      </c>
      <c r="D588" s="355" t="s">
        <v>854</v>
      </c>
      <c r="E588" s="573" t="s">
        <v>855</v>
      </c>
      <c r="F588" s="574"/>
      <c r="G588" s="574"/>
      <c r="H588" s="575"/>
      <c r="I588" s="416"/>
      <c r="J588" s="357" t="s">
        <v>856</v>
      </c>
      <c r="K588" s="295" t="s">
        <v>3</v>
      </c>
    </row>
    <row r="589" spans="1:11" ht="16.2" thickBot="1" x14ac:dyDescent="0.35">
      <c r="A589" s="292">
        <v>1</v>
      </c>
      <c r="B589" s="134" t="s">
        <v>866</v>
      </c>
      <c r="C589" s="267"/>
      <c r="D589" s="281">
        <v>2744</v>
      </c>
      <c r="E589" s="281">
        <v>2744</v>
      </c>
      <c r="F589" s="281"/>
      <c r="G589" s="281"/>
      <c r="H589" s="281"/>
      <c r="I589" s="281">
        <f>SUM(E589:H589)</f>
        <v>2744</v>
      </c>
      <c r="J589" s="281">
        <f>D589-E589-F589-G589-H589</f>
        <v>0</v>
      </c>
      <c r="K589" s="281" t="s">
        <v>1395</v>
      </c>
    </row>
    <row r="590" spans="1:11" ht="16.2" thickBot="1" x14ac:dyDescent="0.35">
      <c r="A590" s="292">
        <v>2</v>
      </c>
      <c r="B590" s="134" t="s">
        <v>874</v>
      </c>
      <c r="C590" s="267"/>
      <c r="D590" s="281">
        <v>2744</v>
      </c>
      <c r="E590" s="281"/>
      <c r="F590" s="281"/>
      <c r="G590" s="281"/>
      <c r="H590" s="281"/>
      <c r="I590" s="281">
        <f t="shared" ref="I590:I591" si="111">SUM(E590:H590)</f>
        <v>0</v>
      </c>
      <c r="J590" s="281">
        <f>D590-E590-F590-G590-H590</f>
        <v>2744</v>
      </c>
      <c r="K590" s="281"/>
    </row>
    <row r="591" spans="1:11" ht="16.2" thickBot="1" x14ac:dyDescent="0.35">
      <c r="A591" s="292">
        <v>3</v>
      </c>
      <c r="B591" s="135" t="s">
        <v>903</v>
      </c>
      <c r="C591" s="316"/>
      <c r="D591" s="281">
        <v>2744</v>
      </c>
      <c r="E591" s="284">
        <v>2744</v>
      </c>
      <c r="F591" s="284"/>
      <c r="G591" s="284"/>
      <c r="H591" s="284"/>
      <c r="I591" s="284">
        <f t="shared" si="111"/>
        <v>2744</v>
      </c>
      <c r="J591" s="284">
        <f>D591-E591-F591-G591-H591</f>
        <v>0</v>
      </c>
      <c r="K591" s="284" t="s">
        <v>1723</v>
      </c>
    </row>
    <row r="592" spans="1:11" ht="16.2" thickBot="1" x14ac:dyDescent="0.35">
      <c r="A592" s="292">
        <v>4</v>
      </c>
      <c r="B592" s="112" t="s">
        <v>639</v>
      </c>
      <c r="C592" s="292">
        <v>3131</v>
      </c>
      <c r="D592" s="281">
        <v>2744</v>
      </c>
      <c r="E592" s="281"/>
      <c r="F592" s="281"/>
      <c r="G592" s="281"/>
      <c r="H592" s="281"/>
      <c r="I592" s="281">
        <f>SUM(E592:H592)</f>
        <v>0</v>
      </c>
      <c r="J592" s="281">
        <f>D592-E592-F592-G592-H592</f>
        <v>2744</v>
      </c>
      <c r="K592" s="438"/>
    </row>
    <row r="593" spans="1:11" ht="15.6" x14ac:dyDescent="0.3">
      <c r="A593" s="143"/>
      <c r="B593" s="143"/>
      <c r="C593" s="143"/>
      <c r="D593" s="495">
        <f>SUM(D589:D592)</f>
        <v>10976</v>
      </c>
      <c r="E593" s="495">
        <f t="shared" ref="E593:J593" si="112">SUM(E589:E592)</f>
        <v>5488</v>
      </c>
      <c r="F593" s="495">
        <f t="shared" si="112"/>
        <v>0</v>
      </c>
      <c r="G593" s="495">
        <f t="shared" si="112"/>
        <v>0</v>
      </c>
      <c r="H593" s="495">
        <f t="shared" si="112"/>
        <v>0</v>
      </c>
      <c r="I593" s="495">
        <f t="shared" si="112"/>
        <v>5488</v>
      </c>
      <c r="J593" s="495">
        <f t="shared" si="112"/>
        <v>5488</v>
      </c>
      <c r="K593" s="143"/>
    </row>
    <row r="594" spans="1:11" ht="15.6" x14ac:dyDescent="0.3">
      <c r="A594" s="143"/>
      <c r="B594" s="143"/>
      <c r="C594" s="143"/>
      <c r="D594" s="142"/>
      <c r="E594" s="142"/>
      <c r="F594" s="142"/>
      <c r="G594" s="142"/>
      <c r="H594" s="142"/>
      <c r="I594" s="142"/>
      <c r="J594" s="142"/>
      <c r="K594" s="143"/>
    </row>
    <row r="595" spans="1:11" ht="15.6" x14ac:dyDescent="0.3">
      <c r="A595" s="143"/>
      <c r="B595" s="143"/>
      <c r="C595" s="143"/>
      <c r="D595" s="142"/>
      <c r="E595" s="142"/>
      <c r="F595" s="142"/>
      <c r="G595" s="142"/>
      <c r="H595" s="142"/>
      <c r="I595" s="142"/>
      <c r="J595" s="142"/>
      <c r="K595" s="143"/>
    </row>
    <row r="596" spans="1:11" ht="16.2" thickBot="1" x14ac:dyDescent="0.35">
      <c r="A596" s="362" t="s">
        <v>28</v>
      </c>
      <c r="B596" s="309"/>
      <c r="C596" s="363"/>
      <c r="D596" s="363"/>
      <c r="E596" s="363"/>
      <c r="F596" s="363"/>
      <c r="G596" s="363"/>
      <c r="H596" s="363"/>
      <c r="I596" s="363"/>
      <c r="J596" s="363"/>
      <c r="K596" s="420"/>
    </row>
    <row r="597" spans="1:11" ht="27.6" thickBot="1" x14ac:dyDescent="0.35">
      <c r="A597" s="354" t="s">
        <v>0</v>
      </c>
      <c r="B597" s="295" t="s">
        <v>1</v>
      </c>
      <c r="C597" s="354" t="s">
        <v>2</v>
      </c>
      <c r="D597" s="355" t="s">
        <v>854</v>
      </c>
      <c r="E597" s="573" t="s">
        <v>855</v>
      </c>
      <c r="F597" s="574"/>
      <c r="G597" s="574"/>
      <c r="H597" s="575"/>
      <c r="I597" s="416"/>
      <c r="J597" s="357" t="s">
        <v>856</v>
      </c>
      <c r="K597" s="295" t="s">
        <v>3</v>
      </c>
    </row>
    <row r="598" spans="1:11" ht="16.2" thickBot="1" x14ac:dyDescent="0.35">
      <c r="A598" s="315">
        <v>1</v>
      </c>
      <c r="B598" s="131" t="s">
        <v>1557</v>
      </c>
      <c r="C598" s="315"/>
      <c r="D598" s="281">
        <v>5243</v>
      </c>
      <c r="E598" s="281">
        <v>1990</v>
      </c>
      <c r="F598" s="281">
        <v>1500</v>
      </c>
      <c r="G598" s="281"/>
      <c r="H598" s="281"/>
      <c r="I598" s="281">
        <f>SUM(E598:H598)</f>
        <v>3490</v>
      </c>
      <c r="J598" s="281">
        <f t="shared" ref="J598" si="113">D598-E598-F598-G598-H598</f>
        <v>1753</v>
      </c>
      <c r="K598" s="351" t="s">
        <v>1395</v>
      </c>
    </row>
    <row r="599" spans="1:11" ht="15.6" x14ac:dyDescent="0.3">
      <c r="A599" s="143"/>
      <c r="B599" s="143"/>
      <c r="C599" s="143"/>
      <c r="D599" s="142"/>
      <c r="E599" s="142"/>
      <c r="F599" s="142"/>
      <c r="G599" s="142"/>
      <c r="H599" s="142"/>
      <c r="I599" s="142"/>
      <c r="J599" s="142"/>
      <c r="K599" s="143"/>
    </row>
    <row r="600" spans="1:11" ht="15.6" x14ac:dyDescent="0.3">
      <c r="A600" s="143"/>
      <c r="B600" s="143"/>
      <c r="C600" s="143"/>
      <c r="D600" s="142"/>
      <c r="E600" s="142"/>
      <c r="F600" s="142"/>
      <c r="G600" s="142"/>
      <c r="H600" s="142"/>
      <c r="I600" s="142"/>
      <c r="J600" s="142"/>
      <c r="K600" s="143"/>
    </row>
    <row r="601" spans="1:11" ht="15.6" x14ac:dyDescent="0.3">
      <c r="A601" s="143"/>
      <c r="B601" s="143"/>
      <c r="C601" s="143"/>
      <c r="D601" s="142"/>
      <c r="E601" s="142"/>
      <c r="F601" s="142"/>
      <c r="G601" s="142"/>
      <c r="H601" s="142"/>
      <c r="I601" s="142"/>
      <c r="J601" s="142"/>
      <c r="K601" s="143"/>
    </row>
    <row r="602" spans="1:11" ht="16.2" thickBot="1" x14ac:dyDescent="0.35">
      <c r="A602" s="362" t="s">
        <v>1274</v>
      </c>
      <c r="B602" s="309"/>
      <c r="C602" s="363"/>
      <c r="D602" s="363"/>
      <c r="E602" s="363"/>
      <c r="F602" s="363"/>
      <c r="G602" s="363"/>
      <c r="H602" s="363"/>
      <c r="I602" s="363"/>
      <c r="J602" s="363"/>
      <c r="K602" s="420"/>
    </row>
    <row r="603" spans="1:11" ht="27.6" thickBot="1" x14ac:dyDescent="0.35">
      <c r="A603" s="354" t="s">
        <v>0</v>
      </c>
      <c r="B603" s="295" t="s">
        <v>1</v>
      </c>
      <c r="C603" s="354" t="s">
        <v>2</v>
      </c>
      <c r="D603" s="355" t="s">
        <v>854</v>
      </c>
      <c r="E603" s="573" t="s">
        <v>855</v>
      </c>
      <c r="F603" s="574"/>
      <c r="G603" s="574"/>
      <c r="H603" s="575"/>
      <c r="I603" s="416"/>
      <c r="J603" s="357" t="s">
        <v>856</v>
      </c>
      <c r="K603" s="295" t="s">
        <v>3</v>
      </c>
    </row>
    <row r="604" spans="1:11" ht="16.2" thickBot="1" x14ac:dyDescent="0.35">
      <c r="A604" s="315">
        <v>1</v>
      </c>
      <c r="B604" s="131" t="s">
        <v>638</v>
      </c>
      <c r="C604" s="315">
        <v>3173</v>
      </c>
      <c r="D604" s="281">
        <v>2744</v>
      </c>
      <c r="E604" s="281">
        <v>2744</v>
      </c>
      <c r="F604" s="281"/>
      <c r="G604" s="281"/>
      <c r="H604" s="281"/>
      <c r="I604" s="281">
        <f>SUM(E604:H604)</f>
        <v>2744</v>
      </c>
      <c r="J604" s="281">
        <f t="shared" ref="J604:J606" si="114">D604-E604-F604-G604-H604</f>
        <v>0</v>
      </c>
      <c r="K604" s="281" t="s">
        <v>1395</v>
      </c>
    </row>
    <row r="605" spans="1:11" ht="16.2" thickBot="1" x14ac:dyDescent="0.35">
      <c r="A605" s="292">
        <v>2</v>
      </c>
      <c r="B605" s="131" t="s">
        <v>925</v>
      </c>
      <c r="C605" s="315">
        <v>3154</v>
      </c>
      <c r="D605" s="281">
        <v>2744</v>
      </c>
      <c r="E605" s="281"/>
      <c r="F605" s="281"/>
      <c r="G605" s="281"/>
      <c r="H605" s="281"/>
      <c r="I605" s="281"/>
      <c r="J605" s="281">
        <f t="shared" si="114"/>
        <v>2744</v>
      </c>
      <c r="K605" s="281"/>
    </row>
    <row r="606" spans="1:11" ht="16.2" thickBot="1" x14ac:dyDescent="0.35">
      <c r="A606" s="316">
        <v>3</v>
      </c>
      <c r="B606" s="287" t="s">
        <v>987</v>
      </c>
      <c r="C606" s="364">
        <v>3169</v>
      </c>
      <c r="D606" s="281">
        <v>2744</v>
      </c>
      <c r="E606" s="284"/>
      <c r="F606" s="284"/>
      <c r="G606" s="284"/>
      <c r="H606" s="284"/>
      <c r="I606" s="284"/>
      <c r="J606" s="284">
        <f t="shared" si="114"/>
        <v>2744</v>
      </c>
      <c r="K606" s="284"/>
    </row>
    <row r="607" spans="1:11" ht="15.6" x14ac:dyDescent="0.3">
      <c r="A607" s="145"/>
      <c r="B607" s="146"/>
      <c r="C607" s="145"/>
      <c r="D607" s="494">
        <f>SUM(D604:D606)</f>
        <v>8232</v>
      </c>
      <c r="E607" s="494">
        <f t="shared" ref="E607:J607" si="115">SUM(E604:E606)</f>
        <v>2744</v>
      </c>
      <c r="F607" s="494">
        <f t="shared" si="115"/>
        <v>0</v>
      </c>
      <c r="G607" s="494">
        <f t="shared" si="115"/>
        <v>0</v>
      </c>
      <c r="H607" s="494">
        <f t="shared" si="115"/>
        <v>0</v>
      </c>
      <c r="I607" s="494">
        <f t="shared" si="115"/>
        <v>2744</v>
      </c>
      <c r="J607" s="494">
        <f t="shared" si="115"/>
        <v>5488</v>
      </c>
      <c r="K607" s="148"/>
    </row>
    <row r="608" spans="1:11" ht="15.6" x14ac:dyDescent="0.3">
      <c r="A608" s="141"/>
      <c r="B608" s="300"/>
      <c r="C608" s="360"/>
      <c r="D608" s="142"/>
      <c r="E608" s="142"/>
      <c r="F608" s="142"/>
      <c r="G608" s="142"/>
      <c r="H608" s="142"/>
      <c r="I608" s="142"/>
      <c r="J608" s="142"/>
      <c r="K608" s="143"/>
    </row>
    <row r="609" spans="1:11" ht="15.6" x14ac:dyDescent="0.3">
      <c r="A609" s="143"/>
      <c r="B609" s="143"/>
      <c r="C609" s="143"/>
      <c r="D609" s="142"/>
      <c r="E609" s="142"/>
      <c r="F609" s="142"/>
      <c r="G609" s="142"/>
      <c r="H609" s="142"/>
      <c r="I609" s="142"/>
      <c r="J609" s="142"/>
      <c r="K609" s="143"/>
    </row>
    <row r="610" spans="1:11" ht="16.2" thickBot="1" x14ac:dyDescent="0.35">
      <c r="A610" s="362" t="s">
        <v>864</v>
      </c>
      <c r="B610" s="309"/>
      <c r="C610" s="363"/>
      <c r="D610" s="363"/>
      <c r="E610" s="363"/>
      <c r="F610" s="363"/>
      <c r="G610" s="363"/>
      <c r="H610" s="363"/>
      <c r="I610" s="363"/>
      <c r="J610" s="363"/>
      <c r="K610" s="420"/>
    </row>
    <row r="611" spans="1:11" ht="27.6" thickBot="1" x14ac:dyDescent="0.35">
      <c r="A611" s="354" t="s">
        <v>0</v>
      </c>
      <c r="B611" s="295" t="s">
        <v>1</v>
      </c>
      <c r="C611" s="354" t="s">
        <v>2</v>
      </c>
      <c r="D611" s="355" t="s">
        <v>854</v>
      </c>
      <c r="E611" s="573" t="s">
        <v>855</v>
      </c>
      <c r="F611" s="574"/>
      <c r="G611" s="574"/>
      <c r="H611" s="575"/>
      <c r="I611" s="416"/>
      <c r="J611" s="357" t="s">
        <v>856</v>
      </c>
      <c r="K611" s="295" t="s">
        <v>3</v>
      </c>
    </row>
    <row r="612" spans="1:11" ht="16.2" thickBot="1" x14ac:dyDescent="0.35">
      <c r="A612" s="292">
        <v>1</v>
      </c>
      <c r="B612" s="131" t="s">
        <v>1333</v>
      </c>
      <c r="C612" s="292"/>
      <c r="D612" s="281">
        <v>5243</v>
      </c>
      <c r="E612" s="281">
        <v>2040</v>
      </c>
      <c r="F612" s="281">
        <v>1500</v>
      </c>
      <c r="G612" s="281"/>
      <c r="H612" s="281"/>
      <c r="I612" s="281">
        <f>SUM(E612:H612)</f>
        <v>3540</v>
      </c>
      <c r="J612" s="281">
        <f t="shared" ref="J612:J614" si="116">D612-E612-F612-G612-H612</f>
        <v>1703</v>
      </c>
      <c r="K612" s="281" t="s">
        <v>1395</v>
      </c>
    </row>
    <row r="613" spans="1:11" ht="16.2" thickBot="1" x14ac:dyDescent="0.35">
      <c r="A613" s="292">
        <v>2</v>
      </c>
      <c r="B613" s="131" t="s">
        <v>1394</v>
      </c>
      <c r="C613" s="292"/>
      <c r="D613" s="281">
        <v>5243</v>
      </c>
      <c r="E613" s="281">
        <v>2040</v>
      </c>
      <c r="F613" s="281"/>
      <c r="G613" s="281"/>
      <c r="H613" s="281"/>
      <c r="I613" s="281">
        <f t="shared" ref="I613:I614" si="117">SUM(E613:H613)</f>
        <v>2040</v>
      </c>
      <c r="J613" s="281">
        <f t="shared" si="116"/>
        <v>3203</v>
      </c>
      <c r="K613" s="281"/>
    </row>
    <row r="614" spans="1:11" ht="16.2" thickBot="1" x14ac:dyDescent="0.35">
      <c r="A614" s="292">
        <v>3</v>
      </c>
      <c r="B614" s="135" t="s">
        <v>1590</v>
      </c>
      <c r="C614" s="316"/>
      <c r="D614" s="281">
        <v>5243</v>
      </c>
      <c r="E614" s="284">
        <v>2600</v>
      </c>
      <c r="F614" s="284">
        <v>500</v>
      </c>
      <c r="G614" s="284"/>
      <c r="H614" s="284"/>
      <c r="I614" s="284">
        <f t="shared" si="117"/>
        <v>3100</v>
      </c>
      <c r="J614" s="284">
        <f t="shared" si="116"/>
        <v>2143</v>
      </c>
      <c r="K614" s="284"/>
    </row>
    <row r="615" spans="1:11" ht="15.6" x14ac:dyDescent="0.3">
      <c r="A615" s="143"/>
      <c r="B615" s="143"/>
      <c r="C615" s="143"/>
      <c r="D615" s="495">
        <f>SUM(D612:D614)</f>
        <v>15729</v>
      </c>
      <c r="E615" s="495">
        <f t="shared" ref="E615:J615" si="118">SUM(E612:E614)</f>
        <v>6680</v>
      </c>
      <c r="F615" s="495">
        <f t="shared" si="118"/>
        <v>2000</v>
      </c>
      <c r="G615" s="495">
        <f t="shared" si="118"/>
        <v>0</v>
      </c>
      <c r="H615" s="495">
        <f t="shared" si="118"/>
        <v>0</v>
      </c>
      <c r="I615" s="495">
        <f t="shared" si="118"/>
        <v>8680</v>
      </c>
      <c r="J615" s="495">
        <f t="shared" si="118"/>
        <v>7049</v>
      </c>
      <c r="K615" s="143"/>
    </row>
    <row r="616" spans="1:11" ht="15.6" x14ac:dyDescent="0.3">
      <c r="A616" s="143"/>
      <c r="B616" s="143"/>
      <c r="C616" s="143"/>
      <c r="D616" s="142"/>
      <c r="E616" s="142"/>
      <c r="F616" s="142"/>
      <c r="G616" s="142"/>
      <c r="H616" s="142"/>
      <c r="I616" s="142"/>
      <c r="J616" s="142"/>
      <c r="K616" s="143"/>
    </row>
    <row r="617" spans="1:11" ht="15.6" x14ac:dyDescent="0.3">
      <c r="A617" s="143"/>
      <c r="B617" s="143"/>
      <c r="C617" s="143"/>
      <c r="D617" s="142"/>
      <c r="E617" s="142"/>
      <c r="F617" s="142"/>
      <c r="G617" s="142"/>
      <c r="H617" s="142"/>
      <c r="I617" s="142"/>
      <c r="J617" s="142"/>
      <c r="K617" s="143"/>
    </row>
    <row r="618" spans="1:11" ht="16.2" thickBot="1" x14ac:dyDescent="0.35">
      <c r="A618" s="362" t="s">
        <v>1275</v>
      </c>
      <c r="B618" s="309"/>
      <c r="C618" s="363"/>
      <c r="D618" s="363"/>
      <c r="E618" s="363"/>
      <c r="F618" s="363"/>
      <c r="G618" s="363"/>
      <c r="H618" s="363"/>
      <c r="I618" s="363"/>
      <c r="J618" s="363"/>
      <c r="K618" s="420"/>
    </row>
    <row r="619" spans="1:11" ht="27.6" thickBot="1" x14ac:dyDescent="0.35">
      <c r="A619" s="354" t="s">
        <v>0</v>
      </c>
      <c r="B619" s="295" t="s">
        <v>1</v>
      </c>
      <c r="C619" s="354" t="s">
        <v>2</v>
      </c>
      <c r="D619" s="355" t="s">
        <v>854</v>
      </c>
      <c r="E619" s="573" t="s">
        <v>855</v>
      </c>
      <c r="F619" s="574"/>
      <c r="G619" s="574"/>
      <c r="H619" s="575"/>
      <c r="I619" s="416"/>
      <c r="J619" s="357" t="s">
        <v>856</v>
      </c>
      <c r="K619" s="295" t="s">
        <v>3</v>
      </c>
    </row>
    <row r="620" spans="1:11" ht="16.2" thickBot="1" x14ac:dyDescent="0.35">
      <c r="A620" s="292">
        <v>1</v>
      </c>
      <c r="B620" s="131" t="s">
        <v>865</v>
      </c>
      <c r="C620" s="292">
        <v>3095</v>
      </c>
      <c r="D620" s="281">
        <v>2744</v>
      </c>
      <c r="E620" s="281">
        <v>1450</v>
      </c>
      <c r="F620" s="281"/>
      <c r="G620" s="281"/>
      <c r="H620" s="281"/>
      <c r="I620" s="281">
        <f>SUM(E620:H620)</f>
        <v>1450</v>
      </c>
      <c r="J620" s="281">
        <f t="shared" ref="J620:J622" si="119">D620-E620-F620-G620-H620</f>
        <v>1294</v>
      </c>
      <c r="K620" s="281" t="s">
        <v>1395</v>
      </c>
    </row>
    <row r="621" spans="1:11" ht="16.2" thickBot="1" x14ac:dyDescent="0.35">
      <c r="A621" s="292">
        <v>2</v>
      </c>
      <c r="B621" s="131" t="s">
        <v>868</v>
      </c>
      <c r="C621" s="292"/>
      <c r="D621" s="281">
        <v>2744</v>
      </c>
      <c r="E621" s="281"/>
      <c r="F621" s="281"/>
      <c r="G621" s="281"/>
      <c r="H621" s="281"/>
      <c r="I621" s="281">
        <f t="shared" ref="I621:I622" si="120">SUM(E621:H621)</f>
        <v>0</v>
      </c>
      <c r="J621" s="281">
        <f t="shared" si="119"/>
        <v>2744</v>
      </c>
      <c r="K621" s="281"/>
    </row>
    <row r="622" spans="1:11" ht="16.2" thickBot="1" x14ac:dyDescent="0.35">
      <c r="A622" s="292">
        <v>3</v>
      </c>
      <c r="B622" s="135" t="s">
        <v>871</v>
      </c>
      <c r="C622" s="316"/>
      <c r="D622" s="281">
        <v>2744</v>
      </c>
      <c r="E622" s="284">
        <v>1000</v>
      </c>
      <c r="F622" s="284"/>
      <c r="G622" s="284"/>
      <c r="H622" s="284"/>
      <c r="I622" s="284">
        <f t="shared" si="120"/>
        <v>1000</v>
      </c>
      <c r="J622" s="284">
        <f t="shared" si="119"/>
        <v>1744</v>
      </c>
      <c r="K622" s="284"/>
    </row>
    <row r="623" spans="1:11" ht="16.2" thickBot="1" x14ac:dyDescent="0.35">
      <c r="A623" s="292">
        <v>4</v>
      </c>
      <c r="B623" s="439" t="s">
        <v>901</v>
      </c>
      <c r="C623" s="421"/>
      <c r="D623" s="281">
        <v>2744</v>
      </c>
      <c r="E623" s="387"/>
      <c r="F623" s="387"/>
      <c r="G623" s="387"/>
      <c r="H623" s="387"/>
      <c r="I623" s="387">
        <f>E623+F623+G623+H623</f>
        <v>0</v>
      </c>
      <c r="J623" s="387">
        <f>D623-E623-F623-G623-H623</f>
        <v>2744</v>
      </c>
      <c r="K623" s="387"/>
    </row>
    <row r="624" spans="1:11" ht="15.6" x14ac:dyDescent="0.3">
      <c r="A624" s="141"/>
      <c r="B624" s="440"/>
      <c r="C624" s="277"/>
      <c r="D624" s="495">
        <f>SUM(D620:D623)</f>
        <v>10976</v>
      </c>
      <c r="E624" s="495">
        <f t="shared" ref="E624:J624" si="121">SUM(E620:E623)</f>
        <v>2450</v>
      </c>
      <c r="F624" s="495">
        <f t="shared" si="121"/>
        <v>0</v>
      </c>
      <c r="G624" s="495">
        <f t="shared" si="121"/>
        <v>0</v>
      </c>
      <c r="H624" s="495">
        <f t="shared" si="121"/>
        <v>0</v>
      </c>
      <c r="I624" s="495">
        <f t="shared" si="121"/>
        <v>2450</v>
      </c>
      <c r="J624" s="495">
        <f t="shared" si="121"/>
        <v>8526</v>
      </c>
      <c r="K624" s="142"/>
    </row>
    <row r="625" spans="1:11" ht="15.6" x14ac:dyDescent="0.3">
      <c r="A625" s="141"/>
      <c r="B625" s="440"/>
      <c r="C625" s="277"/>
      <c r="D625" s="142"/>
      <c r="E625" s="142"/>
      <c r="F625" s="142"/>
      <c r="G625" s="142"/>
      <c r="H625" s="142"/>
      <c r="I625" s="142"/>
      <c r="J625" s="142"/>
      <c r="K625" s="142"/>
    </row>
    <row r="626" spans="1:11" ht="15.6" x14ac:dyDescent="0.3">
      <c r="A626" s="141"/>
      <c r="B626" s="440"/>
      <c r="C626" s="277"/>
      <c r="D626" s="142"/>
      <c r="E626" s="142"/>
      <c r="F626" s="142"/>
      <c r="G626" s="142"/>
      <c r="H626" s="142"/>
      <c r="I626" s="142"/>
      <c r="J626" s="142"/>
      <c r="K626" s="142"/>
    </row>
    <row r="627" spans="1:11" ht="16.2" thickBot="1" x14ac:dyDescent="0.35">
      <c r="A627" s="362" t="s">
        <v>1350</v>
      </c>
      <c r="B627" s="309"/>
      <c r="C627" s="363"/>
      <c r="D627" s="363"/>
      <c r="E627" s="363"/>
      <c r="F627" s="363"/>
      <c r="G627" s="363"/>
      <c r="H627" s="363"/>
      <c r="I627" s="363"/>
      <c r="J627" s="363"/>
      <c r="K627" s="420"/>
    </row>
    <row r="628" spans="1:11" ht="27" x14ac:dyDescent="0.3">
      <c r="A628" s="381" t="s">
        <v>0</v>
      </c>
      <c r="B628" s="318" t="s">
        <v>1</v>
      </c>
      <c r="C628" s="381" t="s">
        <v>2</v>
      </c>
      <c r="D628" s="382" t="s">
        <v>854</v>
      </c>
      <c r="E628" s="576" t="s">
        <v>855</v>
      </c>
      <c r="F628" s="577"/>
      <c r="G628" s="577"/>
      <c r="H628" s="578"/>
      <c r="I628" s="417"/>
      <c r="J628" s="384" t="s">
        <v>856</v>
      </c>
      <c r="K628" s="318" t="s">
        <v>3</v>
      </c>
    </row>
    <row r="629" spans="1:11" ht="16.2" thickBot="1" x14ac:dyDescent="0.35">
      <c r="A629" s="273">
        <v>1</v>
      </c>
      <c r="B629" s="441" t="s">
        <v>1394</v>
      </c>
      <c r="C629" s="441"/>
      <c r="D629" s="271">
        <v>5243</v>
      </c>
      <c r="E629" s="441">
        <v>3203</v>
      </c>
      <c r="F629" s="442"/>
      <c r="G629" s="442"/>
      <c r="H629" s="271"/>
      <c r="I629" s="271"/>
      <c r="J629" s="271">
        <f>D629-I629</f>
        <v>5243</v>
      </c>
      <c r="K629" s="271"/>
    </row>
    <row r="630" spans="1:11" ht="16.2" thickBot="1" x14ac:dyDescent="0.35">
      <c r="A630" s="143">
        <v>2</v>
      </c>
      <c r="B630" s="131" t="s">
        <v>1349</v>
      </c>
      <c r="C630" s="315"/>
      <c r="D630" s="281">
        <v>5243</v>
      </c>
      <c r="E630" s="281">
        <v>2040</v>
      </c>
      <c r="F630" s="281">
        <v>3203</v>
      </c>
      <c r="G630" s="281"/>
      <c r="H630" s="281"/>
      <c r="I630" s="281">
        <f>SUM(E630:H630)</f>
        <v>5243</v>
      </c>
      <c r="J630" s="281">
        <f>D630-E630-F630-G630-H630</f>
        <v>0</v>
      </c>
      <c r="K630" s="143" t="s">
        <v>1378</v>
      </c>
    </row>
    <row r="631" spans="1:11" ht="15.6" x14ac:dyDescent="0.3">
      <c r="A631" s="143"/>
      <c r="B631" s="143"/>
      <c r="C631" s="143"/>
      <c r="D631" s="495">
        <f>SUM(D629:D630)</f>
        <v>10486</v>
      </c>
      <c r="E631" s="495">
        <f t="shared" ref="E631:J631" si="122">SUM(E629:E630)</f>
        <v>5243</v>
      </c>
      <c r="F631" s="495">
        <f t="shared" si="122"/>
        <v>3203</v>
      </c>
      <c r="G631" s="495">
        <f t="shared" si="122"/>
        <v>0</v>
      </c>
      <c r="H631" s="495">
        <f t="shared" si="122"/>
        <v>0</v>
      </c>
      <c r="I631" s="495">
        <f t="shared" si="122"/>
        <v>5243</v>
      </c>
      <c r="J631" s="495">
        <f t="shared" si="122"/>
        <v>5243</v>
      </c>
      <c r="K631" s="143"/>
    </row>
    <row r="632" spans="1:11" ht="15.6" x14ac:dyDescent="0.3">
      <c r="A632" s="280"/>
      <c r="B632" s="280"/>
      <c r="C632" s="280"/>
      <c r="D632" s="279"/>
      <c r="E632" s="279"/>
      <c r="F632" s="279"/>
      <c r="G632" s="279"/>
      <c r="H632" s="279"/>
      <c r="I632" s="279"/>
      <c r="J632" s="279"/>
      <c r="K632" s="280"/>
    </row>
    <row r="633" spans="1:11" ht="15.6" x14ac:dyDescent="0.3">
      <c r="A633" s="141"/>
      <c r="B633" s="300"/>
      <c r="C633" s="141"/>
      <c r="D633" s="142"/>
      <c r="E633" s="142"/>
      <c r="F633" s="142"/>
      <c r="G633" s="142"/>
      <c r="H633" s="142"/>
      <c r="I633" s="142"/>
      <c r="J633" s="142"/>
      <c r="K633" s="142"/>
    </row>
    <row r="634" spans="1:11" ht="15.6" x14ac:dyDescent="0.3">
      <c r="A634" s="361"/>
      <c r="B634" s="303"/>
      <c r="C634" s="361"/>
      <c r="D634" s="279"/>
      <c r="E634" s="279"/>
      <c r="F634" s="279"/>
      <c r="G634" s="279"/>
      <c r="H634" s="279"/>
      <c r="I634" s="279"/>
      <c r="J634" s="279"/>
      <c r="K634" s="279"/>
    </row>
    <row r="635" spans="1:11" ht="15.6" x14ac:dyDescent="0.3">
      <c r="A635" s="141"/>
      <c r="B635" s="300"/>
      <c r="C635" s="141"/>
      <c r="D635" s="142"/>
      <c r="E635" s="142"/>
      <c r="F635" s="142"/>
      <c r="G635" s="142"/>
      <c r="H635" s="142"/>
      <c r="I635" s="142"/>
      <c r="J635" s="142"/>
      <c r="K635" s="142"/>
    </row>
    <row r="636" spans="1:11" ht="15.6" x14ac:dyDescent="0.3">
      <c r="A636" s="141"/>
      <c r="B636" s="300"/>
      <c r="C636" s="141"/>
      <c r="D636" s="142"/>
      <c r="E636" s="142"/>
      <c r="F636" s="142"/>
      <c r="G636" s="142"/>
      <c r="H636" s="142"/>
      <c r="I636" s="142"/>
      <c r="J636" s="142"/>
      <c r="K636" s="142"/>
    </row>
    <row r="637" spans="1:11" ht="16.2" thickBot="1" x14ac:dyDescent="0.35">
      <c r="A637" s="362" t="s">
        <v>1274</v>
      </c>
      <c r="B637" s="309"/>
      <c r="C637" s="363"/>
      <c r="D637" s="363"/>
      <c r="E637" s="363"/>
      <c r="F637" s="363"/>
      <c r="G637" s="363"/>
      <c r="H637" s="363"/>
      <c r="I637" s="363"/>
      <c r="J637" s="363"/>
      <c r="K637" s="420"/>
    </row>
    <row r="638" spans="1:11" ht="27.6" thickBot="1" x14ac:dyDescent="0.35">
      <c r="A638" s="354" t="s">
        <v>0</v>
      </c>
      <c r="B638" s="295" t="s">
        <v>1</v>
      </c>
      <c r="C638" s="354" t="s">
        <v>2</v>
      </c>
      <c r="D638" s="355" t="s">
        <v>854</v>
      </c>
      <c r="E638" s="573" t="s">
        <v>855</v>
      </c>
      <c r="F638" s="574"/>
      <c r="G638" s="574"/>
      <c r="H638" s="575"/>
      <c r="I638" s="416"/>
      <c r="J638" s="357" t="s">
        <v>856</v>
      </c>
      <c r="K638" s="295" t="s">
        <v>3</v>
      </c>
    </row>
    <row r="639" spans="1:11" ht="15.6" x14ac:dyDescent="0.3">
      <c r="A639" s="316">
        <v>1</v>
      </c>
      <c r="B639" s="287" t="s">
        <v>907</v>
      </c>
      <c r="C639" s="364"/>
      <c r="D639" s="284">
        <v>2744</v>
      </c>
      <c r="E639" s="284"/>
      <c r="F639" s="284"/>
      <c r="G639" s="284"/>
      <c r="H639" s="284"/>
      <c r="I639" s="284">
        <f>SUM(E639:H639)</f>
        <v>0</v>
      </c>
      <c r="J639" s="284">
        <f t="shared" ref="J639" si="123">D639-E639-F639-G639-H639</f>
        <v>2744</v>
      </c>
      <c r="K639" s="284"/>
    </row>
    <row r="640" spans="1:11" ht="15.6" x14ac:dyDescent="0.3">
      <c r="A640" s="145"/>
      <c r="B640" s="146"/>
      <c r="C640" s="145"/>
      <c r="D640" s="147"/>
      <c r="E640" s="147"/>
      <c r="F640" s="147"/>
      <c r="G640" s="147"/>
      <c r="H640" s="147"/>
      <c r="I640" s="147"/>
      <c r="J640" s="147"/>
      <c r="K640" s="147"/>
    </row>
    <row r="641" spans="1:11" ht="15.6" x14ac:dyDescent="0.3">
      <c r="A641" s="141"/>
      <c r="B641" s="300"/>
      <c r="C641" s="141"/>
      <c r="D641" s="142"/>
      <c r="E641" s="142"/>
      <c r="F641" s="142"/>
      <c r="G641" s="142"/>
      <c r="H641" s="142"/>
      <c r="I641" s="142"/>
      <c r="J641" s="142"/>
      <c r="K641" s="142"/>
    </row>
    <row r="642" spans="1:11" ht="15.6" x14ac:dyDescent="0.3">
      <c r="A642" s="361"/>
      <c r="B642" s="303"/>
      <c r="C642" s="361"/>
      <c r="D642" s="279"/>
      <c r="E642" s="279"/>
      <c r="F642" s="279"/>
      <c r="G642" s="279"/>
      <c r="H642" s="279"/>
      <c r="I642" s="279"/>
      <c r="J642" s="279"/>
      <c r="K642" s="280"/>
    </row>
    <row r="643" spans="1:11" ht="16.2" thickBot="1" x14ac:dyDescent="0.35">
      <c r="A643" s="362" t="s">
        <v>926</v>
      </c>
      <c r="B643" s="309"/>
      <c r="C643" s="363"/>
      <c r="D643" s="363"/>
      <c r="E643" s="363"/>
      <c r="F643" s="363"/>
      <c r="G643" s="363"/>
      <c r="H643" s="363"/>
      <c r="I643" s="363"/>
      <c r="J643" s="363"/>
      <c r="K643" s="420"/>
    </row>
    <row r="644" spans="1:11" ht="27" x14ac:dyDescent="0.3">
      <c r="A644" s="381" t="s">
        <v>0</v>
      </c>
      <c r="B644" s="318" t="s">
        <v>1</v>
      </c>
      <c r="C644" s="381" t="s">
        <v>2</v>
      </c>
      <c r="D644" s="382" t="s">
        <v>854</v>
      </c>
      <c r="E644" s="576" t="s">
        <v>855</v>
      </c>
      <c r="F644" s="577"/>
      <c r="G644" s="577"/>
      <c r="H644" s="578"/>
      <c r="I644" s="417"/>
      <c r="J644" s="384" t="s">
        <v>856</v>
      </c>
      <c r="K644" s="318" t="s">
        <v>3</v>
      </c>
    </row>
    <row r="645" spans="1:11" ht="15.6" x14ac:dyDescent="0.3">
      <c r="A645" s="273">
        <v>1</v>
      </c>
      <c r="B645" s="289" t="s">
        <v>872</v>
      </c>
      <c r="C645" s="276"/>
      <c r="D645" s="445">
        <v>2744</v>
      </c>
      <c r="E645" s="271"/>
      <c r="F645" s="271"/>
      <c r="G645" s="271"/>
      <c r="H645" s="271"/>
      <c r="I645" s="271">
        <f>SUM(E645:H645)</f>
        <v>0</v>
      </c>
      <c r="J645" s="271">
        <f>D645-E645-F645-G645-H645</f>
        <v>2744</v>
      </c>
      <c r="K645" s="271"/>
    </row>
    <row r="646" spans="1:11" ht="15.6" x14ac:dyDescent="0.3">
      <c r="A646" s="273">
        <v>2</v>
      </c>
      <c r="B646" s="275" t="s">
        <v>880</v>
      </c>
      <c r="C646" s="273"/>
      <c r="D646" s="445">
        <v>2744</v>
      </c>
      <c r="E646" s="377">
        <v>2000</v>
      </c>
      <c r="F646" s="377"/>
      <c r="G646" s="377"/>
      <c r="H646" s="377"/>
      <c r="I646" s="377"/>
      <c r="J646" s="377"/>
      <c r="K646" s="377" t="s">
        <v>1378</v>
      </c>
    </row>
    <row r="647" spans="1:11" ht="18" x14ac:dyDescent="0.35">
      <c r="A647" s="452">
        <v>3</v>
      </c>
      <c r="B647" s="275" t="s">
        <v>974</v>
      </c>
      <c r="C647" s="273">
        <v>3074</v>
      </c>
      <c r="D647" s="445">
        <v>2744</v>
      </c>
      <c r="E647" s="377"/>
      <c r="F647" s="377"/>
      <c r="G647" s="377"/>
      <c r="H647" s="377"/>
      <c r="I647" s="377"/>
      <c r="J647" s="377"/>
      <c r="K647" s="377"/>
    </row>
    <row r="648" spans="1:11" x14ac:dyDescent="0.3">
      <c r="D648" s="493">
        <f>SUM(D645:D647)</f>
        <v>8232</v>
      </c>
      <c r="E648" s="493">
        <f t="shared" ref="E648:J648" si="124">SUM(E645:E647)</f>
        <v>2000</v>
      </c>
      <c r="F648" s="493">
        <f t="shared" si="124"/>
        <v>0</v>
      </c>
      <c r="G648" s="493">
        <f t="shared" si="124"/>
        <v>0</v>
      </c>
      <c r="H648" s="493">
        <f t="shared" si="124"/>
        <v>0</v>
      </c>
      <c r="I648" s="493">
        <f t="shared" si="124"/>
        <v>0</v>
      </c>
      <c r="J648" s="493">
        <f t="shared" si="124"/>
        <v>2744</v>
      </c>
    </row>
  </sheetData>
  <sortState ref="B257:K272">
    <sortCondition ref="B257"/>
  </sortState>
  <mergeCells count="49">
    <mergeCell ref="E513:H513"/>
    <mergeCell ref="E520:H520"/>
    <mergeCell ref="E406:H406"/>
    <mergeCell ref="E505:H505"/>
    <mergeCell ref="E644:H644"/>
    <mergeCell ref="E619:H619"/>
    <mergeCell ref="E638:H638"/>
    <mergeCell ref="E628:H628"/>
    <mergeCell ref="E557:H557"/>
    <mergeCell ref="E572:H572"/>
    <mergeCell ref="E564:H564"/>
    <mergeCell ref="E597:H597"/>
    <mergeCell ref="E611:H611"/>
    <mergeCell ref="E588:H588"/>
    <mergeCell ref="E603:H603"/>
    <mergeCell ref="E498:H498"/>
    <mergeCell ref="E415:H415"/>
    <mergeCell ref="E435:H435"/>
    <mergeCell ref="E448:H448"/>
    <mergeCell ref="E462:H462"/>
    <mergeCell ref="E477:H477"/>
    <mergeCell ref="E280:H280"/>
    <mergeCell ref="E327:H327"/>
    <mergeCell ref="E388:H388"/>
    <mergeCell ref="A1:K1"/>
    <mergeCell ref="A2:K2"/>
    <mergeCell ref="E119:H119"/>
    <mergeCell ref="E144:H144"/>
    <mergeCell ref="E172:H172"/>
    <mergeCell ref="E193:H193"/>
    <mergeCell ref="E216:H216"/>
    <mergeCell ref="E243:H243"/>
    <mergeCell ref="E265:H265"/>
    <mergeCell ref="E536:H536"/>
    <mergeCell ref="E545:H545"/>
    <mergeCell ref="E4:H4"/>
    <mergeCell ref="E63:H63"/>
    <mergeCell ref="E485:H485"/>
    <mergeCell ref="E15:H15"/>
    <mergeCell ref="E36:H36"/>
    <mergeCell ref="E51:H51"/>
    <mergeCell ref="E72:H72"/>
    <mergeCell ref="E84:H84"/>
    <mergeCell ref="E100:H100"/>
    <mergeCell ref="E108:H108"/>
    <mergeCell ref="E469:H469"/>
    <mergeCell ref="E491:H491"/>
    <mergeCell ref="E165:H165"/>
    <mergeCell ref="E528:H528"/>
  </mergeCells>
  <pageMargins left="0.7" right="0.7" top="0.75" bottom="0.75" header="0.3" footer="0.3"/>
  <pageSetup scale="99" orientation="landscape" horizontalDpi="360" verticalDpi="360" r:id="rId1"/>
  <rowBreaks count="8" manualBreakCount="8">
    <brk id="117" max="16383" man="1"/>
    <brk id="197" max="10" man="1"/>
    <brk id="239" max="16383" man="1"/>
    <brk id="278" max="16383" man="1"/>
    <brk id="403" max="16383" man="1"/>
    <brk id="483" max="16383" man="1"/>
    <brk id="595" max="16383" man="1"/>
    <brk id="63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7"/>
  <sheetViews>
    <sheetView topLeftCell="A52" zoomScale="91" zoomScaleNormal="91" workbookViewId="0">
      <selection activeCell="F72" sqref="F72"/>
    </sheetView>
  </sheetViews>
  <sheetFormatPr defaultRowHeight="14.4" x14ac:dyDescent="0.3"/>
  <cols>
    <col min="1" max="1" width="5.21875" customWidth="1"/>
    <col min="2" max="2" width="36.33203125" bestFit="1" customWidth="1"/>
    <col min="3" max="3" width="8.88671875" style="259"/>
    <col min="4" max="4" width="11.109375" customWidth="1"/>
    <col min="5" max="5" width="9.6640625" bestFit="1" customWidth="1"/>
    <col min="6" max="6" width="8.6640625" bestFit="1" customWidth="1"/>
    <col min="7" max="7" width="7.5546875" bestFit="1" customWidth="1"/>
    <col min="8" max="8" width="9.33203125" customWidth="1"/>
    <col min="9" max="9" width="9.6640625" bestFit="1" customWidth="1"/>
    <col min="10" max="10" width="16.5546875" bestFit="1" customWidth="1"/>
  </cols>
  <sheetData>
    <row r="1" spans="1:10" ht="15" thickBot="1" x14ac:dyDescent="0.35">
      <c r="A1" s="14" t="s">
        <v>1277</v>
      </c>
      <c r="B1" s="13"/>
      <c r="C1" s="236"/>
      <c r="D1" s="15"/>
      <c r="E1" s="15"/>
      <c r="F1" s="15"/>
      <c r="G1" s="15"/>
      <c r="H1" s="15"/>
      <c r="I1" s="15"/>
      <c r="J1" s="25"/>
    </row>
    <row r="2" spans="1:10" ht="27.6" thickBot="1" x14ac:dyDescent="0.35">
      <c r="A2" s="64" t="s">
        <v>0</v>
      </c>
      <c r="B2" s="8" t="s">
        <v>1</v>
      </c>
      <c r="C2" s="237" t="s">
        <v>2</v>
      </c>
      <c r="D2" s="69" t="s">
        <v>854</v>
      </c>
      <c r="E2" s="580" t="s">
        <v>855</v>
      </c>
      <c r="F2" s="581"/>
      <c r="G2" s="581"/>
      <c r="H2" s="456" t="s">
        <v>1704</v>
      </c>
      <c r="I2" s="70" t="s">
        <v>856</v>
      </c>
      <c r="J2" s="8" t="s">
        <v>3</v>
      </c>
    </row>
    <row r="3" spans="1:10" ht="16.2" thickBot="1" x14ac:dyDescent="0.35">
      <c r="A3" s="17">
        <v>1</v>
      </c>
      <c r="B3" s="134" t="s">
        <v>1357</v>
      </c>
      <c r="C3" s="52"/>
      <c r="D3" s="6">
        <v>8148</v>
      </c>
      <c r="E3" s="6">
        <v>2040</v>
      </c>
      <c r="F3" s="6">
        <v>2500</v>
      </c>
      <c r="G3" s="6"/>
      <c r="H3" s="6">
        <f t="shared" ref="H3:H27" si="0">SUM(E3:G3)</f>
        <v>4540</v>
      </c>
      <c r="I3" s="6">
        <f>D3-H3</f>
        <v>3608</v>
      </c>
      <c r="J3" s="6" t="s">
        <v>1395</v>
      </c>
    </row>
    <row r="4" spans="1:10" ht="16.2" thickBot="1" x14ac:dyDescent="0.35">
      <c r="A4" s="9">
        <v>2</v>
      </c>
      <c r="B4" s="131" t="s">
        <v>1490</v>
      </c>
      <c r="C4" s="238"/>
      <c r="D4" s="6">
        <v>8148</v>
      </c>
      <c r="E4" s="6">
        <v>2140</v>
      </c>
      <c r="F4" s="6">
        <v>1300</v>
      </c>
      <c r="G4" s="6">
        <v>2320</v>
      </c>
      <c r="H4" s="6">
        <f t="shared" si="0"/>
        <v>5760</v>
      </c>
      <c r="I4" s="6">
        <f t="shared" ref="I4:I27" si="1">D4-H4</f>
        <v>2388</v>
      </c>
      <c r="J4" s="6"/>
    </row>
    <row r="5" spans="1:10" ht="16.2" thickBot="1" x14ac:dyDescent="0.35">
      <c r="A5" s="17">
        <v>3</v>
      </c>
      <c r="B5" s="112" t="s">
        <v>1450</v>
      </c>
      <c r="C5" s="238"/>
      <c r="D5" s="6">
        <v>8148</v>
      </c>
      <c r="E5" s="6">
        <v>2080</v>
      </c>
      <c r="F5" s="6">
        <v>2900</v>
      </c>
      <c r="G5" s="6"/>
      <c r="H5" s="6">
        <f t="shared" si="0"/>
        <v>4980</v>
      </c>
      <c r="I5" s="6">
        <f t="shared" si="1"/>
        <v>3168</v>
      </c>
      <c r="J5" s="284" t="s">
        <v>1395</v>
      </c>
    </row>
    <row r="6" spans="1:10" ht="16.2" thickBot="1" x14ac:dyDescent="0.35">
      <c r="A6" s="9">
        <v>4</v>
      </c>
      <c r="B6" s="112" t="s">
        <v>1462</v>
      </c>
      <c r="C6" s="238"/>
      <c r="D6" s="6">
        <v>8148</v>
      </c>
      <c r="E6" s="6">
        <v>2108</v>
      </c>
      <c r="F6" s="6"/>
      <c r="G6" s="6"/>
      <c r="H6" s="6">
        <f t="shared" si="0"/>
        <v>2108</v>
      </c>
      <c r="I6" s="6">
        <f t="shared" si="1"/>
        <v>6040</v>
      </c>
      <c r="J6" s="6"/>
    </row>
    <row r="7" spans="1:10" ht="16.2" thickBot="1" x14ac:dyDescent="0.35">
      <c r="A7" s="17">
        <v>5</v>
      </c>
      <c r="B7" s="131" t="s">
        <v>1489</v>
      </c>
      <c r="C7" s="238"/>
      <c r="D7" s="6">
        <v>8148</v>
      </c>
      <c r="E7" s="6">
        <v>2040</v>
      </c>
      <c r="F7" s="6"/>
      <c r="G7" s="6"/>
      <c r="H7" s="6">
        <f t="shared" si="0"/>
        <v>2040</v>
      </c>
      <c r="I7" s="6">
        <f t="shared" si="1"/>
        <v>6108</v>
      </c>
      <c r="J7" s="6"/>
    </row>
    <row r="8" spans="1:10" ht="16.2" thickBot="1" x14ac:dyDescent="0.35">
      <c r="A8" s="9">
        <v>6</v>
      </c>
      <c r="B8" s="133" t="s">
        <v>1343</v>
      </c>
      <c r="C8" s="238"/>
      <c r="D8" s="6">
        <v>8148</v>
      </c>
      <c r="E8" s="6">
        <v>2040</v>
      </c>
      <c r="F8" s="6">
        <v>3108</v>
      </c>
      <c r="G8" s="6"/>
      <c r="H8" s="6">
        <f t="shared" si="0"/>
        <v>5148</v>
      </c>
      <c r="I8" s="6">
        <f t="shared" si="1"/>
        <v>3000</v>
      </c>
      <c r="J8" s="6" t="s">
        <v>1395</v>
      </c>
    </row>
    <row r="9" spans="1:10" ht="16.2" thickBot="1" x14ac:dyDescent="0.35">
      <c r="A9" s="17">
        <v>7</v>
      </c>
      <c r="B9" s="112" t="s">
        <v>1322</v>
      </c>
      <c r="C9" s="238"/>
      <c r="D9" s="6">
        <v>8148</v>
      </c>
      <c r="E9" s="6">
        <v>2040</v>
      </c>
      <c r="F9" s="6">
        <v>2960</v>
      </c>
      <c r="G9" s="6">
        <v>1500</v>
      </c>
      <c r="H9" s="6">
        <f t="shared" si="0"/>
        <v>6500</v>
      </c>
      <c r="I9" s="6">
        <f t="shared" si="1"/>
        <v>1648</v>
      </c>
      <c r="J9" s="6"/>
    </row>
    <row r="10" spans="1:10" ht="16.2" thickBot="1" x14ac:dyDescent="0.35">
      <c r="A10" s="9">
        <v>8</v>
      </c>
      <c r="B10" s="131" t="s">
        <v>1537</v>
      </c>
      <c r="C10" s="238"/>
      <c r="D10" s="6">
        <v>8148</v>
      </c>
      <c r="E10" s="6">
        <v>2040</v>
      </c>
      <c r="F10" s="6">
        <v>3000</v>
      </c>
      <c r="G10" s="6"/>
      <c r="H10" s="6">
        <f t="shared" si="0"/>
        <v>5040</v>
      </c>
      <c r="I10" s="6">
        <f t="shared" si="1"/>
        <v>3108</v>
      </c>
      <c r="J10" s="6"/>
    </row>
    <row r="11" spans="1:10" ht="16.2" thickBot="1" x14ac:dyDescent="0.35">
      <c r="A11" s="17">
        <v>9</v>
      </c>
      <c r="B11" s="131" t="s">
        <v>1351</v>
      </c>
      <c r="C11" s="52"/>
      <c r="D11" s="6">
        <v>8148</v>
      </c>
      <c r="E11" s="6">
        <v>1500</v>
      </c>
      <c r="F11" s="6">
        <v>540</v>
      </c>
      <c r="G11" s="6">
        <v>4000</v>
      </c>
      <c r="H11" s="6">
        <f t="shared" si="0"/>
        <v>6040</v>
      </c>
      <c r="I11" s="6">
        <f t="shared" si="1"/>
        <v>2108</v>
      </c>
      <c r="J11" s="6" t="s">
        <v>1395</v>
      </c>
    </row>
    <row r="12" spans="1:10" ht="16.2" thickBot="1" x14ac:dyDescent="0.35">
      <c r="A12" s="9">
        <v>10</v>
      </c>
      <c r="B12" s="131" t="s">
        <v>1479</v>
      </c>
      <c r="C12" s="238"/>
      <c r="D12" s="6">
        <v>8148</v>
      </c>
      <c r="E12" s="6">
        <v>2040</v>
      </c>
      <c r="F12" s="6"/>
      <c r="G12" s="6"/>
      <c r="H12" s="6">
        <f t="shared" si="0"/>
        <v>2040</v>
      </c>
      <c r="I12" s="6">
        <f t="shared" si="1"/>
        <v>6108</v>
      </c>
      <c r="J12" s="6"/>
    </row>
    <row r="13" spans="1:10" ht="16.2" thickBot="1" x14ac:dyDescent="0.35">
      <c r="A13" s="17">
        <v>11</v>
      </c>
      <c r="B13" s="112" t="s">
        <v>1416</v>
      </c>
      <c r="C13" s="52"/>
      <c r="D13" s="6">
        <v>8148</v>
      </c>
      <c r="E13" s="6">
        <v>2040</v>
      </c>
      <c r="F13" s="6">
        <v>6108</v>
      </c>
      <c r="G13" s="6"/>
      <c r="H13" s="6">
        <f t="shared" si="0"/>
        <v>8148</v>
      </c>
      <c r="I13" s="6">
        <f t="shared" si="1"/>
        <v>0</v>
      </c>
      <c r="J13" s="6" t="s">
        <v>1395</v>
      </c>
    </row>
    <row r="14" spans="1:10" ht="16.2" thickBot="1" x14ac:dyDescent="0.35">
      <c r="A14" s="9">
        <v>12</v>
      </c>
      <c r="B14" s="112" t="s">
        <v>1667</v>
      </c>
      <c r="C14" s="52"/>
      <c r="D14" s="6">
        <v>8148</v>
      </c>
      <c r="E14" s="6">
        <v>1100</v>
      </c>
      <c r="F14" s="6"/>
      <c r="G14" s="6"/>
      <c r="H14" s="6"/>
      <c r="I14" s="6">
        <f t="shared" si="1"/>
        <v>8148</v>
      </c>
      <c r="J14" s="6"/>
    </row>
    <row r="15" spans="1:10" ht="16.2" thickBot="1" x14ac:dyDescent="0.35">
      <c r="A15" s="17">
        <v>13</v>
      </c>
      <c r="B15" s="131" t="s">
        <v>1586</v>
      </c>
      <c r="C15" s="239"/>
      <c r="D15" s="6">
        <v>8148</v>
      </c>
      <c r="E15" s="281">
        <v>4000</v>
      </c>
      <c r="F15" s="7"/>
      <c r="G15" s="7"/>
      <c r="H15" s="281">
        <f t="shared" si="0"/>
        <v>4000</v>
      </c>
      <c r="I15" s="6">
        <f t="shared" si="1"/>
        <v>4148</v>
      </c>
      <c r="J15" s="7" t="s">
        <v>1395</v>
      </c>
    </row>
    <row r="16" spans="1:10" ht="16.2" thickBot="1" x14ac:dyDescent="0.35">
      <c r="A16" s="9">
        <v>14</v>
      </c>
      <c r="B16" s="112" t="s">
        <v>1464</v>
      </c>
      <c r="C16" s="238"/>
      <c r="D16" s="6">
        <v>8148</v>
      </c>
      <c r="E16" s="6">
        <v>2040</v>
      </c>
      <c r="F16" s="6"/>
      <c r="G16" s="6"/>
      <c r="H16" s="6">
        <f t="shared" si="0"/>
        <v>2040</v>
      </c>
      <c r="I16" s="6">
        <f t="shared" si="1"/>
        <v>6108</v>
      </c>
      <c r="J16" s="6"/>
    </row>
    <row r="17" spans="1:10" ht="16.2" thickBot="1" x14ac:dyDescent="0.35">
      <c r="A17" s="17">
        <v>15</v>
      </c>
      <c r="B17" s="135" t="s">
        <v>1417</v>
      </c>
      <c r="C17" s="251"/>
      <c r="D17" s="83">
        <v>8148</v>
      </c>
      <c r="E17" s="83">
        <v>2040</v>
      </c>
      <c r="F17" s="83">
        <v>3600</v>
      </c>
      <c r="G17" s="83"/>
      <c r="H17" s="6">
        <f t="shared" si="0"/>
        <v>5640</v>
      </c>
      <c r="I17" s="6">
        <f t="shared" si="1"/>
        <v>2508</v>
      </c>
      <c r="J17" s="83"/>
    </row>
    <row r="18" spans="1:10" ht="16.2" thickBot="1" x14ac:dyDescent="0.35">
      <c r="A18" s="9">
        <v>16</v>
      </c>
      <c r="B18" s="446" t="s">
        <v>1415</v>
      </c>
      <c r="C18" s="447"/>
      <c r="D18" s="334">
        <v>8148</v>
      </c>
      <c r="E18" s="334">
        <v>2040</v>
      </c>
      <c r="F18" s="334">
        <v>3900</v>
      </c>
      <c r="G18" s="334"/>
      <c r="H18" s="6">
        <f t="shared" si="0"/>
        <v>5940</v>
      </c>
      <c r="I18" s="6">
        <f t="shared" si="1"/>
        <v>2208</v>
      </c>
      <c r="J18" s="335" t="s">
        <v>1395</v>
      </c>
    </row>
    <row r="19" spans="1:10" ht="16.2" thickBot="1" x14ac:dyDescent="0.35">
      <c r="A19" s="17">
        <v>17</v>
      </c>
      <c r="B19" s="409" t="s">
        <v>1342</v>
      </c>
      <c r="C19" s="410"/>
      <c r="D19" s="162">
        <v>8148</v>
      </c>
      <c r="E19" s="162">
        <v>2040</v>
      </c>
      <c r="F19" s="162"/>
      <c r="G19" s="162"/>
      <c r="H19" s="6">
        <f t="shared" si="0"/>
        <v>2040</v>
      </c>
      <c r="I19" s="6">
        <f t="shared" si="1"/>
        <v>6108</v>
      </c>
      <c r="J19" s="406"/>
    </row>
    <row r="20" spans="1:10" ht="16.2" thickBot="1" x14ac:dyDescent="0.35">
      <c r="A20" s="9">
        <v>18</v>
      </c>
      <c r="B20" s="409" t="s">
        <v>928</v>
      </c>
      <c r="C20" s="410"/>
      <c r="D20" s="162">
        <v>8148</v>
      </c>
      <c r="E20" s="162">
        <v>5000</v>
      </c>
      <c r="F20" s="162"/>
      <c r="G20" s="162"/>
      <c r="H20" s="6">
        <f t="shared" si="0"/>
        <v>5000</v>
      </c>
      <c r="I20" s="6">
        <f t="shared" si="1"/>
        <v>3148</v>
      </c>
      <c r="J20" s="406"/>
    </row>
    <row r="21" spans="1:10" ht="16.2" thickBot="1" x14ac:dyDescent="0.35">
      <c r="A21" s="17">
        <v>19</v>
      </c>
      <c r="B21" s="275" t="s">
        <v>1369</v>
      </c>
      <c r="C21" s="408"/>
      <c r="D21" s="74">
        <v>8148</v>
      </c>
      <c r="E21" s="74">
        <v>2040</v>
      </c>
      <c r="F21" s="74">
        <v>1000</v>
      </c>
      <c r="G21" s="74"/>
      <c r="H21" s="6">
        <f t="shared" si="0"/>
        <v>3040</v>
      </c>
      <c r="I21" s="6">
        <f t="shared" si="1"/>
        <v>5108</v>
      </c>
      <c r="J21" s="336" t="s">
        <v>1395</v>
      </c>
    </row>
    <row r="22" spans="1:10" ht="16.2" thickBot="1" x14ac:dyDescent="0.35">
      <c r="A22" s="9">
        <v>20</v>
      </c>
      <c r="B22" s="275" t="s">
        <v>1478</v>
      </c>
      <c r="C22" s="408"/>
      <c r="D22" s="162">
        <v>8148</v>
      </c>
      <c r="E22" s="74">
        <v>2040</v>
      </c>
      <c r="F22" s="74">
        <v>3000</v>
      </c>
      <c r="G22" s="74"/>
      <c r="H22" s="6">
        <f t="shared" si="0"/>
        <v>5040</v>
      </c>
      <c r="I22" s="6">
        <f t="shared" si="1"/>
        <v>3108</v>
      </c>
      <c r="J22" s="336" t="s">
        <v>1395</v>
      </c>
    </row>
    <row r="23" spans="1:10" ht="16.2" thickBot="1" x14ac:dyDescent="0.35">
      <c r="A23" s="17">
        <v>21</v>
      </c>
      <c r="B23" s="275" t="s">
        <v>1651</v>
      </c>
      <c r="C23" s="408">
        <v>3594</v>
      </c>
      <c r="D23" s="162">
        <v>8148</v>
      </c>
      <c r="E23" s="74">
        <v>4440</v>
      </c>
      <c r="F23" s="74"/>
      <c r="G23" s="74"/>
      <c r="H23" s="6">
        <f t="shared" ref="H23" si="2">SUM(E23:G23)</f>
        <v>4440</v>
      </c>
      <c r="I23" s="6">
        <f t="shared" si="1"/>
        <v>3708</v>
      </c>
      <c r="J23" s="465"/>
    </row>
    <row r="24" spans="1:10" ht="16.2" thickBot="1" x14ac:dyDescent="0.35">
      <c r="A24" s="9">
        <v>22</v>
      </c>
      <c r="B24" s="270" t="s">
        <v>1608</v>
      </c>
      <c r="C24" s="466"/>
      <c r="D24" s="74">
        <v>8148</v>
      </c>
      <c r="E24" s="271">
        <v>3000</v>
      </c>
      <c r="F24" s="75"/>
      <c r="G24" s="75"/>
      <c r="H24" s="281">
        <f t="shared" si="0"/>
        <v>3000</v>
      </c>
      <c r="I24" s="6">
        <f t="shared" si="1"/>
        <v>5148</v>
      </c>
      <c r="J24" s="6" t="s">
        <v>1395</v>
      </c>
    </row>
    <row r="25" spans="1:10" ht="16.2" thickBot="1" x14ac:dyDescent="0.35">
      <c r="A25" s="17">
        <v>23</v>
      </c>
      <c r="B25" s="300" t="s">
        <v>1435</v>
      </c>
      <c r="C25" s="246"/>
      <c r="D25" s="162">
        <v>8148</v>
      </c>
      <c r="E25" s="42">
        <v>2500</v>
      </c>
      <c r="F25" s="42">
        <v>4000</v>
      </c>
      <c r="G25" s="42"/>
      <c r="H25" s="83">
        <f t="shared" si="0"/>
        <v>6500</v>
      </c>
      <c r="I25" s="6">
        <f t="shared" si="1"/>
        <v>1648</v>
      </c>
      <c r="J25" s="465"/>
    </row>
    <row r="26" spans="1:10" ht="16.2" thickBot="1" x14ac:dyDescent="0.35">
      <c r="A26" s="9">
        <v>24</v>
      </c>
      <c r="B26" s="275" t="s">
        <v>1423</v>
      </c>
      <c r="C26" s="331"/>
      <c r="D26" s="74">
        <v>8148</v>
      </c>
      <c r="E26" s="74">
        <v>5000</v>
      </c>
      <c r="F26" s="74">
        <v>2000</v>
      </c>
      <c r="G26" s="74"/>
      <c r="H26" s="74">
        <f t="shared" si="0"/>
        <v>7000</v>
      </c>
      <c r="I26" s="6">
        <f t="shared" si="1"/>
        <v>1148</v>
      </c>
      <c r="J26" s="74"/>
    </row>
    <row r="27" spans="1:10" ht="16.2" thickBot="1" x14ac:dyDescent="0.35">
      <c r="A27" s="17">
        <v>25</v>
      </c>
      <c r="B27" s="275" t="s">
        <v>1354</v>
      </c>
      <c r="C27" s="331"/>
      <c r="D27" s="74">
        <v>8148</v>
      </c>
      <c r="E27" s="74">
        <v>2040</v>
      </c>
      <c r="F27" s="74">
        <v>2000</v>
      </c>
      <c r="G27" s="74"/>
      <c r="H27" s="74">
        <f t="shared" si="0"/>
        <v>4040</v>
      </c>
      <c r="I27" s="6">
        <f t="shared" si="1"/>
        <v>4108</v>
      </c>
      <c r="J27" s="6" t="s">
        <v>1395</v>
      </c>
    </row>
    <row r="28" spans="1:10" ht="16.2" thickBot="1" x14ac:dyDescent="0.35">
      <c r="B28" s="188"/>
      <c r="D28" s="493">
        <f>SUM(D3:D27)</f>
        <v>203700</v>
      </c>
      <c r="E28" s="493">
        <f t="shared" ref="E28:H28" si="3">SUM(E3:E27)</f>
        <v>61428</v>
      </c>
      <c r="F28" s="493">
        <f t="shared" si="3"/>
        <v>41916</v>
      </c>
      <c r="G28" s="493">
        <f t="shared" si="3"/>
        <v>7820</v>
      </c>
      <c r="H28" s="493">
        <f t="shared" si="3"/>
        <v>110064</v>
      </c>
      <c r="I28" s="499">
        <f>D28-H28</f>
        <v>93636</v>
      </c>
    </row>
    <row r="29" spans="1:10" ht="15.6" x14ac:dyDescent="0.3">
      <c r="B29" s="188"/>
      <c r="E29" s="142"/>
      <c r="H29" s="142"/>
    </row>
    <row r="30" spans="1:10" ht="15.6" x14ac:dyDescent="0.3">
      <c r="B30" s="188"/>
      <c r="E30" s="142"/>
      <c r="H30" s="142"/>
    </row>
    <row r="31" spans="1:10" x14ac:dyDescent="0.3">
      <c r="B31" s="294"/>
    </row>
    <row r="32" spans="1:10" ht="15" thickBot="1" x14ac:dyDescent="0.35">
      <c r="B32" s="294"/>
    </row>
    <row r="33" spans="1:10" ht="15" thickBot="1" x14ac:dyDescent="0.35">
      <c r="A33" s="14" t="s">
        <v>1278</v>
      </c>
      <c r="B33" s="133"/>
      <c r="C33" s="236"/>
      <c r="D33" s="15"/>
      <c r="E33" s="15"/>
      <c r="F33" s="15"/>
      <c r="G33" s="15"/>
      <c r="H33" s="15"/>
      <c r="I33" s="15"/>
      <c r="J33" s="25"/>
    </row>
    <row r="34" spans="1:10" ht="27.6" thickBot="1" x14ac:dyDescent="0.35">
      <c r="A34" s="24" t="s">
        <v>0</v>
      </c>
      <c r="B34" s="295" t="s">
        <v>1</v>
      </c>
      <c r="C34" s="237" t="s">
        <v>2</v>
      </c>
      <c r="D34" s="69" t="s">
        <v>854</v>
      </c>
      <c r="E34" s="580" t="s">
        <v>855</v>
      </c>
      <c r="F34" s="581"/>
      <c r="G34" s="581"/>
      <c r="H34" s="456" t="s">
        <v>1704</v>
      </c>
      <c r="I34" s="70" t="s">
        <v>856</v>
      </c>
      <c r="J34" s="8" t="s">
        <v>3</v>
      </c>
    </row>
    <row r="35" spans="1:10" ht="16.2" thickBot="1" x14ac:dyDescent="0.35">
      <c r="A35" s="17">
        <v>1</v>
      </c>
      <c r="B35" s="112" t="s">
        <v>479</v>
      </c>
      <c r="C35" s="238"/>
      <c r="D35" s="6">
        <v>5388</v>
      </c>
      <c r="E35" s="6">
        <v>1100</v>
      </c>
      <c r="F35" s="6">
        <v>1463</v>
      </c>
      <c r="G35" s="6">
        <v>2770</v>
      </c>
      <c r="H35" s="6">
        <f>SUM(E35:G35)</f>
        <v>5333</v>
      </c>
      <c r="I35" s="6">
        <f>D35-H35</f>
        <v>55</v>
      </c>
      <c r="J35" s="6" t="s">
        <v>1395</v>
      </c>
    </row>
    <row r="36" spans="1:10" ht="16.2" thickBot="1" x14ac:dyDescent="0.35">
      <c r="A36" s="9">
        <v>2</v>
      </c>
      <c r="B36" s="112" t="s">
        <v>1210</v>
      </c>
      <c r="C36" s="238">
        <v>2998</v>
      </c>
      <c r="D36" s="6">
        <v>5388</v>
      </c>
      <c r="E36" s="6">
        <v>5200</v>
      </c>
      <c r="F36" s="6"/>
      <c r="G36" s="6"/>
      <c r="H36" s="6">
        <f t="shared" ref="H36:H55" si="4">SUM(E36:G36)</f>
        <v>5200</v>
      </c>
      <c r="I36" s="6">
        <f t="shared" ref="I36:I55" si="5">D36-H36</f>
        <v>188</v>
      </c>
      <c r="J36" s="6" t="s">
        <v>1395</v>
      </c>
    </row>
    <row r="37" spans="1:10" ht="16.2" thickBot="1" x14ac:dyDescent="0.35">
      <c r="A37" s="17">
        <v>3</v>
      </c>
      <c r="B37" s="133" t="s">
        <v>483</v>
      </c>
      <c r="C37" s="238">
        <v>2997</v>
      </c>
      <c r="D37" s="6">
        <v>5388</v>
      </c>
      <c r="F37" s="6"/>
      <c r="G37" s="6"/>
      <c r="H37" s="6">
        <f t="shared" si="4"/>
        <v>0</v>
      </c>
      <c r="I37" s="6">
        <f t="shared" si="5"/>
        <v>5388</v>
      </c>
      <c r="J37" s="6" t="s">
        <v>1589</v>
      </c>
    </row>
    <row r="38" spans="1:10" ht="16.2" thickBot="1" x14ac:dyDescent="0.35">
      <c r="A38" s="17">
        <v>4</v>
      </c>
      <c r="B38" s="131" t="s">
        <v>478</v>
      </c>
      <c r="C38" s="52"/>
      <c r="D38" s="6">
        <v>5388</v>
      </c>
      <c r="E38" s="6">
        <v>2000</v>
      </c>
      <c r="F38" s="6"/>
      <c r="G38" s="6"/>
      <c r="H38" s="6">
        <f t="shared" si="4"/>
        <v>2000</v>
      </c>
      <c r="I38" s="6">
        <f t="shared" si="5"/>
        <v>3388</v>
      </c>
      <c r="J38" s="6" t="s">
        <v>1395</v>
      </c>
    </row>
    <row r="39" spans="1:10" ht="16.2" thickBot="1" x14ac:dyDescent="0.35">
      <c r="A39" s="9">
        <v>5</v>
      </c>
      <c r="B39" s="112" t="s">
        <v>492</v>
      </c>
      <c r="C39" s="52">
        <v>3000</v>
      </c>
      <c r="D39" s="6">
        <v>5388</v>
      </c>
      <c r="E39" s="6"/>
      <c r="F39" s="6"/>
      <c r="G39" s="6"/>
      <c r="H39" s="6">
        <f t="shared" si="4"/>
        <v>0</v>
      </c>
      <c r="I39" s="6">
        <f t="shared" si="5"/>
        <v>5388</v>
      </c>
      <c r="J39" s="6"/>
    </row>
    <row r="40" spans="1:10" ht="16.2" thickBot="1" x14ac:dyDescent="0.35">
      <c r="A40" s="17">
        <v>6</v>
      </c>
      <c r="B40" s="134" t="s">
        <v>361</v>
      </c>
      <c r="C40" s="52"/>
      <c r="D40" s="6">
        <v>5388</v>
      </c>
      <c r="E40" s="6">
        <v>2000</v>
      </c>
      <c r="F40" s="6"/>
      <c r="G40" s="6"/>
      <c r="H40" s="6">
        <f>SUM(E40:G40)</f>
        <v>2000</v>
      </c>
      <c r="I40" s="6">
        <f t="shared" si="5"/>
        <v>3388</v>
      </c>
      <c r="J40" s="6"/>
    </row>
    <row r="41" spans="1:10" ht="16.2" thickBot="1" x14ac:dyDescent="0.35">
      <c r="A41" s="17">
        <v>7</v>
      </c>
      <c r="B41" s="112" t="s">
        <v>481</v>
      </c>
      <c r="C41" s="238">
        <v>3198</v>
      </c>
      <c r="D41" s="6">
        <v>5388</v>
      </c>
      <c r="E41" s="6">
        <v>1800</v>
      </c>
      <c r="F41" s="6"/>
      <c r="G41" s="6"/>
      <c r="H41" s="6">
        <f t="shared" si="4"/>
        <v>1800</v>
      </c>
      <c r="I41" s="6">
        <f t="shared" si="5"/>
        <v>3588</v>
      </c>
      <c r="J41" s="6"/>
    </row>
    <row r="42" spans="1:10" ht="16.2" thickBot="1" x14ac:dyDescent="0.35">
      <c r="A42" s="9">
        <v>8</v>
      </c>
      <c r="B42" s="112" t="s">
        <v>485</v>
      </c>
      <c r="C42" s="238">
        <v>3002</v>
      </c>
      <c r="D42" s="6">
        <v>5388</v>
      </c>
      <c r="E42" s="6">
        <v>3000</v>
      </c>
      <c r="F42" s="6"/>
      <c r="G42" s="6"/>
      <c r="H42" s="6">
        <f t="shared" si="4"/>
        <v>3000</v>
      </c>
      <c r="I42" s="6">
        <f t="shared" si="5"/>
        <v>2388</v>
      </c>
      <c r="J42" s="6" t="s">
        <v>1395</v>
      </c>
    </row>
    <row r="43" spans="1:10" ht="16.2" thickBot="1" x14ac:dyDescent="0.35">
      <c r="A43" s="17">
        <v>9</v>
      </c>
      <c r="B43" s="112" t="s">
        <v>493</v>
      </c>
      <c r="C43" s="52">
        <v>3003</v>
      </c>
      <c r="D43" s="6">
        <v>5388</v>
      </c>
      <c r="E43" s="6">
        <v>1500</v>
      </c>
      <c r="F43" s="6"/>
      <c r="G43" s="6"/>
      <c r="H43" s="6">
        <f t="shared" si="4"/>
        <v>1500</v>
      </c>
      <c r="I43" s="6">
        <f t="shared" si="5"/>
        <v>3888</v>
      </c>
      <c r="J43" s="6" t="s">
        <v>1395</v>
      </c>
    </row>
    <row r="44" spans="1:10" ht="16.2" thickBot="1" x14ac:dyDescent="0.35">
      <c r="A44" s="17"/>
      <c r="B44" s="112" t="s">
        <v>1665</v>
      </c>
      <c r="C44" s="52"/>
      <c r="D44" s="6">
        <v>5388</v>
      </c>
      <c r="E44" s="6">
        <v>2000</v>
      </c>
      <c r="F44" s="6"/>
      <c r="G44" s="6"/>
      <c r="H44" s="6">
        <f t="shared" si="4"/>
        <v>2000</v>
      </c>
      <c r="I44" s="6">
        <f t="shared" si="5"/>
        <v>3388</v>
      </c>
      <c r="J44" s="6"/>
    </row>
    <row r="45" spans="1:10" ht="16.2" thickBot="1" x14ac:dyDescent="0.35">
      <c r="A45" s="17">
        <v>10</v>
      </c>
      <c r="B45" s="112" t="s">
        <v>489</v>
      </c>
      <c r="C45" s="238">
        <v>3004</v>
      </c>
      <c r="D45" s="6">
        <v>5388</v>
      </c>
      <c r="E45" s="6"/>
      <c r="F45" s="6"/>
      <c r="G45" s="6"/>
      <c r="H45" s="6">
        <f t="shared" si="4"/>
        <v>0</v>
      </c>
      <c r="I45" s="6">
        <f t="shared" si="5"/>
        <v>5388</v>
      </c>
      <c r="J45" s="6"/>
    </row>
    <row r="46" spans="1:10" ht="16.2" thickBot="1" x14ac:dyDescent="0.35">
      <c r="A46" s="17">
        <v>11</v>
      </c>
      <c r="B46" s="112" t="s">
        <v>494</v>
      </c>
      <c r="C46" s="52">
        <v>1375</v>
      </c>
      <c r="D46" s="6">
        <v>5388</v>
      </c>
      <c r="E46" s="6"/>
      <c r="F46" s="6"/>
      <c r="G46" s="6"/>
      <c r="H46" s="6">
        <f t="shared" si="4"/>
        <v>0</v>
      </c>
      <c r="I46" s="6">
        <f t="shared" si="5"/>
        <v>5388</v>
      </c>
      <c r="J46" s="6"/>
    </row>
    <row r="47" spans="1:10" ht="16.2" thickBot="1" x14ac:dyDescent="0.35">
      <c r="A47" s="17">
        <v>12</v>
      </c>
      <c r="B47" s="112" t="s">
        <v>491</v>
      </c>
      <c r="C47" s="238">
        <v>3006</v>
      </c>
      <c r="D47" s="6">
        <v>5388</v>
      </c>
      <c r="E47" s="6"/>
      <c r="F47" s="6"/>
      <c r="G47" s="6"/>
      <c r="H47" s="6">
        <f t="shared" si="4"/>
        <v>0</v>
      </c>
      <c r="I47" s="6">
        <f t="shared" si="5"/>
        <v>5388</v>
      </c>
      <c r="J47" s="6" t="s">
        <v>1597</v>
      </c>
    </row>
    <row r="48" spans="1:10" ht="16.2" thickBot="1" x14ac:dyDescent="0.35">
      <c r="A48" s="9">
        <v>13</v>
      </c>
      <c r="B48" s="112" t="s">
        <v>487</v>
      </c>
      <c r="C48" s="238">
        <v>3007</v>
      </c>
      <c r="D48" s="6">
        <v>5388</v>
      </c>
      <c r="E48" s="6">
        <v>3300</v>
      </c>
      <c r="F48" s="6"/>
      <c r="G48" s="6"/>
      <c r="H48" s="6">
        <f t="shared" si="4"/>
        <v>3300</v>
      </c>
      <c r="I48" s="6">
        <f t="shared" si="5"/>
        <v>2088</v>
      </c>
      <c r="J48" s="6"/>
    </row>
    <row r="49" spans="1:11" ht="16.2" thickBot="1" x14ac:dyDescent="0.35">
      <c r="A49" s="9">
        <v>14</v>
      </c>
      <c r="B49" s="112" t="s">
        <v>480</v>
      </c>
      <c r="C49" s="238"/>
      <c r="D49" s="6">
        <v>5388</v>
      </c>
      <c r="E49" s="6">
        <v>2500</v>
      </c>
      <c r="F49" s="6"/>
      <c r="G49" s="6"/>
      <c r="H49" s="6">
        <f t="shared" si="4"/>
        <v>2500</v>
      </c>
      <c r="I49" s="6">
        <f t="shared" si="5"/>
        <v>2888</v>
      </c>
      <c r="J49" s="6" t="s">
        <v>1395</v>
      </c>
    </row>
    <row r="50" spans="1:11" ht="16.2" thickBot="1" x14ac:dyDescent="0.35">
      <c r="A50" s="9">
        <v>15</v>
      </c>
      <c r="B50" s="296" t="s">
        <v>1198</v>
      </c>
      <c r="C50" s="239"/>
      <c r="D50" s="6">
        <v>5388</v>
      </c>
      <c r="E50" s="6"/>
      <c r="F50" s="6"/>
      <c r="G50" s="6"/>
      <c r="H50" s="6">
        <f t="shared" si="4"/>
        <v>0</v>
      </c>
      <c r="I50" s="6">
        <f t="shared" si="5"/>
        <v>5388</v>
      </c>
      <c r="J50" s="7"/>
    </row>
    <row r="51" spans="1:11" ht="16.2" thickBot="1" x14ac:dyDescent="0.35">
      <c r="A51" s="9">
        <v>16</v>
      </c>
      <c r="B51" s="112" t="s">
        <v>486</v>
      </c>
      <c r="C51" s="238">
        <v>3010</v>
      </c>
      <c r="D51" s="6">
        <v>5388</v>
      </c>
      <c r="E51" s="6">
        <v>2500</v>
      </c>
      <c r="F51" s="6"/>
      <c r="G51" s="6"/>
      <c r="H51" s="6">
        <f t="shared" si="4"/>
        <v>2500</v>
      </c>
      <c r="I51" s="6">
        <f t="shared" si="5"/>
        <v>2888</v>
      </c>
      <c r="J51" s="6" t="s">
        <v>1395</v>
      </c>
    </row>
    <row r="52" spans="1:11" ht="16.2" thickBot="1" x14ac:dyDescent="0.35">
      <c r="A52" s="9">
        <v>17</v>
      </c>
      <c r="B52" s="112" t="s">
        <v>484</v>
      </c>
      <c r="C52" s="238">
        <v>3011</v>
      </c>
      <c r="D52" s="6">
        <v>5388</v>
      </c>
      <c r="E52" s="6"/>
      <c r="F52" s="6"/>
      <c r="G52" s="6"/>
      <c r="H52" s="6">
        <f t="shared" si="4"/>
        <v>0</v>
      </c>
      <c r="I52" s="6">
        <f t="shared" si="5"/>
        <v>5388</v>
      </c>
      <c r="J52" s="6"/>
    </row>
    <row r="53" spans="1:11" ht="16.2" thickBot="1" x14ac:dyDescent="0.35">
      <c r="A53" s="9">
        <v>19</v>
      </c>
      <c r="B53" s="297" t="s">
        <v>488</v>
      </c>
      <c r="C53" s="10">
        <v>3206</v>
      </c>
      <c r="D53" s="6">
        <v>5388</v>
      </c>
      <c r="E53" s="6">
        <v>5388</v>
      </c>
      <c r="F53" s="6"/>
      <c r="G53" s="6"/>
      <c r="H53" s="6">
        <f t="shared" si="4"/>
        <v>5388</v>
      </c>
      <c r="I53" s="6">
        <f t="shared" si="5"/>
        <v>0</v>
      </c>
      <c r="J53" s="6" t="s">
        <v>1395</v>
      </c>
      <c r="K53">
        <f>D53/2</f>
        <v>2694</v>
      </c>
    </row>
    <row r="54" spans="1:11" ht="16.2" thickBot="1" x14ac:dyDescent="0.35">
      <c r="A54" s="9">
        <v>20</v>
      </c>
      <c r="B54" s="112" t="s">
        <v>482</v>
      </c>
      <c r="C54" s="52">
        <v>3012</v>
      </c>
      <c r="D54" s="6">
        <v>5388</v>
      </c>
      <c r="E54" s="6">
        <v>3000</v>
      </c>
      <c r="F54" s="6"/>
      <c r="G54" s="6"/>
      <c r="H54" s="6">
        <f t="shared" si="4"/>
        <v>3000</v>
      </c>
      <c r="I54" s="6">
        <f t="shared" si="5"/>
        <v>2388</v>
      </c>
      <c r="J54" s="6" t="s">
        <v>1395</v>
      </c>
    </row>
    <row r="55" spans="1:11" ht="16.2" thickBot="1" x14ac:dyDescent="0.35">
      <c r="A55" s="136">
        <v>21</v>
      </c>
      <c r="B55" s="135" t="s">
        <v>959</v>
      </c>
      <c r="C55" s="168"/>
      <c r="D55" s="6">
        <v>5388</v>
      </c>
      <c r="E55" s="83"/>
      <c r="F55" s="83"/>
      <c r="G55" s="83"/>
      <c r="H55" s="6">
        <f t="shared" si="4"/>
        <v>0</v>
      </c>
      <c r="I55" s="6">
        <f t="shared" si="5"/>
        <v>5388</v>
      </c>
      <c r="J55" s="84"/>
    </row>
    <row r="56" spans="1:11" ht="15.6" x14ac:dyDescent="0.3">
      <c r="A56" s="138"/>
      <c r="B56" s="290"/>
      <c r="C56" s="240"/>
      <c r="D56" s="494">
        <f>SUM(D35:D55)</f>
        <v>113148</v>
      </c>
      <c r="E56" s="494">
        <f t="shared" ref="E56:I56" si="6">SUM(E35:E55)</f>
        <v>35288</v>
      </c>
      <c r="F56" s="494">
        <f t="shared" si="6"/>
        <v>1463</v>
      </c>
      <c r="G56" s="494">
        <f t="shared" si="6"/>
        <v>2770</v>
      </c>
      <c r="H56" s="494">
        <f t="shared" si="6"/>
        <v>39521</v>
      </c>
      <c r="I56" s="494">
        <f t="shared" si="6"/>
        <v>73627</v>
      </c>
      <c r="J56" s="92"/>
    </row>
    <row r="57" spans="1:11" ht="15.6" x14ac:dyDescent="0.3">
      <c r="A57" s="35"/>
      <c r="B57" s="291"/>
      <c r="C57" s="241"/>
      <c r="D57" s="42"/>
      <c r="E57" s="42"/>
      <c r="F57" s="42"/>
      <c r="G57" s="42"/>
      <c r="H57" s="42"/>
      <c r="I57" s="42"/>
      <c r="J57" s="43"/>
    </row>
    <row r="58" spans="1:11" ht="15.6" x14ac:dyDescent="0.3">
      <c r="A58" s="87"/>
      <c r="B58" s="280"/>
      <c r="C58" s="242"/>
      <c r="D58" s="88"/>
      <c r="E58" s="88"/>
      <c r="F58" s="88"/>
      <c r="G58" s="88"/>
      <c r="H58" s="88"/>
      <c r="I58" s="88"/>
      <c r="J58" s="87"/>
    </row>
    <row r="59" spans="1:11" ht="15" thickBot="1" x14ac:dyDescent="0.35">
      <c r="A59" s="85" t="s">
        <v>1279</v>
      </c>
      <c r="B59" s="298"/>
      <c r="C59" s="243"/>
      <c r="D59" s="161"/>
      <c r="E59" s="161"/>
      <c r="F59" s="161"/>
      <c r="G59" s="161"/>
      <c r="H59" s="161"/>
      <c r="I59" s="161"/>
      <c r="J59" s="171"/>
      <c r="K59" s="2"/>
    </row>
    <row r="60" spans="1:11" ht="27.6" thickBot="1" x14ac:dyDescent="0.35">
      <c r="A60" s="24" t="s">
        <v>0</v>
      </c>
      <c r="B60" s="295" t="s">
        <v>1</v>
      </c>
      <c r="C60" s="237" t="s">
        <v>2</v>
      </c>
      <c r="D60" s="69" t="s">
        <v>854</v>
      </c>
      <c r="F60" s="504"/>
      <c r="G60" s="504"/>
      <c r="H60" s="503" t="s">
        <v>855</v>
      </c>
      <c r="I60" s="70" t="s">
        <v>856</v>
      </c>
      <c r="J60" s="8" t="s">
        <v>3</v>
      </c>
    </row>
    <row r="61" spans="1:11" s="49" customFormat="1" ht="16.2" thickBot="1" x14ac:dyDescent="0.35">
      <c r="A61" s="29">
        <v>1</v>
      </c>
      <c r="B61" s="299" t="s">
        <v>111</v>
      </c>
      <c r="C61" s="244">
        <v>2442</v>
      </c>
      <c r="D61" s="4">
        <v>5196</v>
      </c>
      <c r="E61" s="4">
        <v>3700</v>
      </c>
      <c r="F61" s="4">
        <v>1496</v>
      </c>
      <c r="G61" s="4"/>
      <c r="H61" s="4">
        <f>SUM(E61:G61)</f>
        <v>5196</v>
      </c>
      <c r="I61" s="4">
        <f>D61-H61</f>
        <v>0</v>
      </c>
      <c r="J61" s="4" t="s">
        <v>1395</v>
      </c>
    </row>
    <row r="62" spans="1:11" s="49" customFormat="1" ht="16.2" thickBot="1" x14ac:dyDescent="0.35">
      <c r="A62" s="29">
        <v>2</v>
      </c>
      <c r="B62" s="299" t="s">
        <v>973</v>
      </c>
      <c r="C62" s="245">
        <v>1369</v>
      </c>
      <c r="D62" s="4">
        <v>5196</v>
      </c>
      <c r="E62" s="4">
        <v>2040</v>
      </c>
      <c r="F62" s="4"/>
      <c r="G62" s="4"/>
      <c r="H62" s="4">
        <f t="shared" ref="H62:H79" si="7">SUM(E62:G62)</f>
        <v>2040</v>
      </c>
      <c r="I62" s="4">
        <f t="shared" ref="I62:I78" si="8">D62-H62</f>
        <v>3156</v>
      </c>
      <c r="J62" s="18"/>
    </row>
    <row r="63" spans="1:11" s="49" customFormat="1" ht="16.2" thickBot="1" x14ac:dyDescent="0.35">
      <c r="A63" s="29">
        <v>3</v>
      </c>
      <c r="B63" s="112" t="s">
        <v>283</v>
      </c>
      <c r="C63" s="244">
        <v>2446</v>
      </c>
      <c r="D63" s="4">
        <v>5196</v>
      </c>
      <c r="E63" s="4"/>
      <c r="F63" s="4"/>
      <c r="G63" s="4"/>
      <c r="H63" s="4">
        <f t="shared" si="7"/>
        <v>0</v>
      </c>
      <c r="I63" s="4">
        <f t="shared" si="8"/>
        <v>5196</v>
      </c>
      <c r="J63" s="4"/>
    </row>
    <row r="64" spans="1:11" s="49" customFormat="1" ht="16.2" thickBot="1" x14ac:dyDescent="0.35">
      <c r="A64" s="29">
        <v>4</v>
      </c>
      <c r="B64" s="112" t="s">
        <v>316</v>
      </c>
      <c r="C64" s="244">
        <v>2470</v>
      </c>
      <c r="D64" s="4">
        <v>5196</v>
      </c>
      <c r="E64" s="4"/>
      <c r="F64" s="4"/>
      <c r="G64" s="4"/>
      <c r="H64" s="4">
        <f t="shared" si="7"/>
        <v>0</v>
      </c>
      <c r="I64" s="4">
        <f t="shared" si="8"/>
        <v>5196</v>
      </c>
      <c r="J64" s="4"/>
    </row>
    <row r="65" spans="1:10" s="49" customFormat="1" ht="16.2" thickBot="1" x14ac:dyDescent="0.35">
      <c r="A65" s="29">
        <v>5</v>
      </c>
      <c r="B65" s="112" t="s">
        <v>101</v>
      </c>
      <c r="C65" s="244">
        <v>1617</v>
      </c>
      <c r="D65" s="4">
        <v>5196</v>
      </c>
      <c r="E65" s="4"/>
      <c r="F65" s="4"/>
      <c r="G65" s="4"/>
      <c r="H65" s="4">
        <f t="shared" si="7"/>
        <v>0</v>
      </c>
      <c r="I65" s="4">
        <f t="shared" si="8"/>
        <v>5196</v>
      </c>
      <c r="J65" s="4" t="s">
        <v>1640</v>
      </c>
    </row>
    <row r="66" spans="1:10" s="49" customFormat="1" ht="16.2" thickBot="1" x14ac:dyDescent="0.35">
      <c r="A66" s="29">
        <v>6</v>
      </c>
      <c r="B66" s="112" t="s">
        <v>303</v>
      </c>
      <c r="C66" s="244">
        <v>2449</v>
      </c>
      <c r="D66" s="4">
        <v>5196</v>
      </c>
      <c r="E66" s="4">
        <v>1559</v>
      </c>
      <c r="F66" s="4">
        <v>1559</v>
      </c>
      <c r="G66" s="4"/>
      <c r="H66" s="4">
        <f t="shared" si="7"/>
        <v>3118</v>
      </c>
      <c r="I66" s="4">
        <f t="shared" si="8"/>
        <v>2078</v>
      </c>
      <c r="J66" s="284" t="s">
        <v>1395</v>
      </c>
    </row>
    <row r="67" spans="1:10" s="49" customFormat="1" ht="16.2" thickBot="1" x14ac:dyDescent="0.35">
      <c r="A67" s="29">
        <v>7</v>
      </c>
      <c r="B67" s="299" t="s">
        <v>1199</v>
      </c>
      <c r="C67" s="245">
        <v>2514</v>
      </c>
      <c r="D67" s="4">
        <v>5196</v>
      </c>
      <c r="E67" s="4"/>
      <c r="F67" s="4"/>
      <c r="G67" s="4"/>
      <c r="H67" s="4">
        <f t="shared" si="7"/>
        <v>0</v>
      </c>
      <c r="I67" s="4">
        <f t="shared" si="8"/>
        <v>5196</v>
      </c>
      <c r="J67" s="18"/>
    </row>
    <row r="68" spans="1:10" s="49" customFormat="1" ht="16.2" thickBot="1" x14ac:dyDescent="0.35">
      <c r="A68" s="29">
        <v>8</v>
      </c>
      <c r="B68" s="112" t="s">
        <v>209</v>
      </c>
      <c r="C68" s="244">
        <v>2656</v>
      </c>
      <c r="D68" s="4">
        <v>5196</v>
      </c>
      <c r="E68" s="4">
        <v>2700</v>
      </c>
      <c r="F68" s="4">
        <v>1400</v>
      </c>
      <c r="G68" s="4"/>
      <c r="H68" s="4">
        <f t="shared" si="7"/>
        <v>4100</v>
      </c>
      <c r="I68" s="4">
        <f t="shared" si="8"/>
        <v>1096</v>
      </c>
      <c r="J68" s="4" t="s">
        <v>1395</v>
      </c>
    </row>
    <row r="69" spans="1:10" s="49" customFormat="1" ht="16.2" thickBot="1" x14ac:dyDescent="0.35">
      <c r="A69" s="29">
        <v>9</v>
      </c>
      <c r="B69" s="112" t="s">
        <v>319</v>
      </c>
      <c r="C69" s="244">
        <v>2450</v>
      </c>
      <c r="D69" s="4">
        <v>5196</v>
      </c>
      <c r="E69" s="4">
        <v>2500</v>
      </c>
      <c r="F69" s="4"/>
      <c r="G69" s="4"/>
      <c r="H69" s="4">
        <f t="shared" si="7"/>
        <v>2500</v>
      </c>
      <c r="I69" s="4">
        <f t="shared" si="8"/>
        <v>2696</v>
      </c>
      <c r="J69" s="6" t="s">
        <v>1395</v>
      </c>
    </row>
    <row r="70" spans="1:10" s="49" customFormat="1" ht="16.2" thickBot="1" x14ac:dyDescent="0.35">
      <c r="A70" s="29">
        <v>10</v>
      </c>
      <c r="B70" s="112" t="s">
        <v>929</v>
      </c>
      <c r="C70" s="244"/>
      <c r="D70" s="4">
        <v>5196</v>
      </c>
      <c r="E70" s="47"/>
      <c r="F70" s="47"/>
      <c r="G70" s="47"/>
      <c r="H70" s="4">
        <f t="shared" si="7"/>
        <v>0</v>
      </c>
      <c r="I70" s="4">
        <f t="shared" si="8"/>
        <v>5196</v>
      </c>
      <c r="J70" s="53"/>
    </row>
    <row r="71" spans="1:10" s="55" customFormat="1" ht="16.2" thickBot="1" x14ac:dyDescent="0.35">
      <c r="A71" s="29">
        <v>11</v>
      </c>
      <c r="B71" s="112" t="s">
        <v>327</v>
      </c>
      <c r="C71" s="244">
        <v>2468</v>
      </c>
      <c r="D71" s="4">
        <v>5196</v>
      </c>
      <c r="E71" s="4"/>
      <c r="F71" s="4"/>
      <c r="G71" s="4"/>
      <c r="H71" s="4">
        <f t="shared" si="7"/>
        <v>0</v>
      </c>
      <c r="I71" s="4">
        <f t="shared" si="8"/>
        <v>5196</v>
      </c>
      <c r="J71" s="4"/>
    </row>
    <row r="72" spans="1:10" s="55" customFormat="1" ht="16.2" thickBot="1" x14ac:dyDescent="0.35">
      <c r="A72" s="29">
        <v>12</v>
      </c>
      <c r="B72" s="112" t="s">
        <v>208</v>
      </c>
      <c r="C72" s="244">
        <v>2452</v>
      </c>
      <c r="D72" s="4">
        <v>5196</v>
      </c>
      <c r="E72" s="4">
        <v>2600</v>
      </c>
      <c r="F72" s="4">
        <v>1600</v>
      </c>
      <c r="G72" s="4"/>
      <c r="H72" s="4">
        <f t="shared" si="7"/>
        <v>4200</v>
      </c>
      <c r="I72" s="4">
        <f t="shared" si="8"/>
        <v>996</v>
      </c>
      <c r="J72" s="6" t="s">
        <v>1395</v>
      </c>
    </row>
    <row r="73" spans="1:10" s="55" customFormat="1" ht="16.2" thickBot="1" x14ac:dyDescent="0.35">
      <c r="A73" s="29">
        <v>13</v>
      </c>
      <c r="B73" s="112" t="s">
        <v>207</v>
      </c>
      <c r="C73" s="244">
        <v>2453</v>
      </c>
      <c r="D73" s="4">
        <v>5196</v>
      </c>
      <c r="E73" s="4"/>
      <c r="F73" s="4"/>
      <c r="G73" s="4"/>
      <c r="H73" s="4">
        <f t="shared" si="7"/>
        <v>0</v>
      </c>
      <c r="I73" s="4">
        <f t="shared" si="8"/>
        <v>5196</v>
      </c>
      <c r="J73" s="6" t="s">
        <v>1597</v>
      </c>
    </row>
    <row r="74" spans="1:10" s="55" customFormat="1" ht="16.2" thickBot="1" x14ac:dyDescent="0.35">
      <c r="A74" s="29">
        <v>14</v>
      </c>
      <c r="B74" s="112" t="s">
        <v>909</v>
      </c>
      <c r="C74" s="244">
        <v>2454</v>
      </c>
      <c r="D74" s="4">
        <v>5196</v>
      </c>
      <c r="E74" s="47">
        <v>3000</v>
      </c>
      <c r="F74" s="47"/>
      <c r="G74" s="47"/>
      <c r="H74" s="4">
        <f t="shared" si="7"/>
        <v>3000</v>
      </c>
      <c r="I74" s="4">
        <f t="shared" si="8"/>
        <v>2196</v>
      </c>
      <c r="J74" s="53"/>
    </row>
    <row r="75" spans="1:10" s="55" customFormat="1" ht="16.2" thickBot="1" x14ac:dyDescent="0.35">
      <c r="A75" s="29">
        <v>15</v>
      </c>
      <c r="B75" s="112" t="s">
        <v>113</v>
      </c>
      <c r="C75" s="244">
        <v>2455</v>
      </c>
      <c r="D75" s="4">
        <v>5196</v>
      </c>
      <c r="E75" s="4">
        <v>3000</v>
      </c>
      <c r="F75" s="4"/>
      <c r="G75" s="4"/>
      <c r="H75" s="4">
        <f t="shared" si="7"/>
        <v>3000</v>
      </c>
      <c r="I75" s="4">
        <f t="shared" si="8"/>
        <v>2196</v>
      </c>
      <c r="J75" s="6" t="s">
        <v>1395</v>
      </c>
    </row>
    <row r="76" spans="1:10" s="55" customFormat="1" ht="16.2" thickBot="1" x14ac:dyDescent="0.35">
      <c r="A76" s="549">
        <v>16</v>
      </c>
      <c r="B76" s="550" t="s">
        <v>301</v>
      </c>
      <c r="C76" s="551">
        <v>2456</v>
      </c>
      <c r="D76" s="550">
        <v>5196</v>
      </c>
      <c r="E76" s="550"/>
      <c r="F76" s="550"/>
      <c r="G76" s="550"/>
      <c r="H76" s="550">
        <f t="shared" si="7"/>
        <v>0</v>
      </c>
      <c r="I76" s="550">
        <f t="shared" si="8"/>
        <v>5196</v>
      </c>
      <c r="J76" s="550" t="s">
        <v>1736</v>
      </c>
    </row>
    <row r="77" spans="1:10" ht="16.2" thickBot="1" x14ac:dyDescent="0.35">
      <c r="A77" s="29">
        <v>17</v>
      </c>
      <c r="B77" s="299" t="s">
        <v>1200</v>
      </c>
      <c r="C77" s="245">
        <v>2457</v>
      </c>
      <c r="D77" s="4">
        <v>5196</v>
      </c>
      <c r="E77" s="4"/>
      <c r="F77" s="4"/>
      <c r="G77" s="4"/>
      <c r="H77" s="4">
        <f t="shared" si="7"/>
        <v>0</v>
      </c>
      <c r="I77" s="4">
        <f t="shared" si="8"/>
        <v>5196</v>
      </c>
      <c r="J77" s="18"/>
    </row>
    <row r="78" spans="1:10" ht="16.2" thickBot="1" x14ac:dyDescent="0.35">
      <c r="A78" s="29">
        <v>18</v>
      </c>
      <c r="B78" s="112" t="s">
        <v>477</v>
      </c>
      <c r="C78" s="244">
        <v>2901</v>
      </c>
      <c r="D78" s="4">
        <v>5196</v>
      </c>
      <c r="E78" s="4"/>
      <c r="F78" s="4"/>
      <c r="G78" s="4"/>
      <c r="H78" s="4">
        <f t="shared" si="7"/>
        <v>0</v>
      </c>
      <c r="I78" s="4">
        <f t="shared" si="8"/>
        <v>5196</v>
      </c>
      <c r="J78" s="4"/>
    </row>
    <row r="79" spans="1:10" ht="16.2" thickBot="1" x14ac:dyDescent="0.35">
      <c r="A79" s="549">
        <v>19</v>
      </c>
      <c r="B79" s="548" t="s">
        <v>683</v>
      </c>
      <c r="C79" s="555">
        <v>2459</v>
      </c>
      <c r="D79" s="550">
        <v>5196</v>
      </c>
      <c r="E79" s="548"/>
      <c r="F79" s="548"/>
      <c r="G79" s="548"/>
      <c r="H79" s="550">
        <f t="shared" si="7"/>
        <v>0</v>
      </c>
      <c r="I79" s="550">
        <f t="shared" ref="I79" si="9">D79-E79-F79-G79-H79</f>
        <v>5196</v>
      </c>
      <c r="J79" s="548" t="s">
        <v>1736</v>
      </c>
    </row>
    <row r="80" spans="1:10" ht="15" thickBot="1" x14ac:dyDescent="0.35">
      <c r="A80" s="57"/>
      <c r="B80" s="148"/>
      <c r="C80" s="240"/>
      <c r="D80" s="502">
        <f>SUM(D61:D79)</f>
        <v>98724</v>
      </c>
      <c r="E80" s="502">
        <f t="shared" ref="E80:I80" si="10">SUM(E61:E79)</f>
        <v>21099</v>
      </c>
      <c r="F80" s="502">
        <f t="shared" si="10"/>
        <v>6055</v>
      </c>
      <c r="G80" s="502">
        <f t="shared" si="10"/>
        <v>0</v>
      </c>
      <c r="H80" s="502">
        <f t="shared" si="10"/>
        <v>27154</v>
      </c>
      <c r="I80" s="502">
        <f t="shared" si="10"/>
        <v>71570</v>
      </c>
      <c r="J80" s="92"/>
    </row>
    <row r="81" spans="1:10" ht="16.2" thickBot="1" x14ac:dyDescent="0.35">
      <c r="A81" s="57"/>
      <c r="B81" s="143"/>
      <c r="C81" s="241"/>
      <c r="D81" s="43"/>
      <c r="E81" s="42"/>
      <c r="F81" s="42"/>
      <c r="G81" s="42"/>
      <c r="H81" s="42"/>
      <c r="I81" s="42"/>
      <c r="J81" s="43"/>
    </row>
    <row r="82" spans="1:10" ht="16.2" thickBot="1" x14ac:dyDescent="0.35">
      <c r="A82" s="57"/>
      <c r="B82" s="280"/>
      <c r="C82" s="242"/>
      <c r="D82" s="88"/>
      <c r="E82" s="88"/>
      <c r="F82" s="88"/>
      <c r="G82" s="88"/>
      <c r="H82" s="88"/>
      <c r="I82" s="88"/>
      <c r="J82" s="87"/>
    </row>
    <row r="83" spans="1:10" ht="15" thickBot="1" x14ac:dyDescent="0.35">
      <c r="A83" s="14" t="s">
        <v>1280</v>
      </c>
      <c r="B83" s="298"/>
      <c r="C83" s="243"/>
      <c r="D83" s="161"/>
      <c r="E83" s="161"/>
      <c r="F83" s="161"/>
      <c r="G83" s="161"/>
      <c r="H83" s="161"/>
      <c r="I83" s="161"/>
      <c r="J83" s="171"/>
    </row>
    <row r="84" spans="1:10" ht="27.6" thickBot="1" x14ac:dyDescent="0.35">
      <c r="A84" s="24" t="s">
        <v>0</v>
      </c>
      <c r="B84" s="295" t="s">
        <v>1</v>
      </c>
      <c r="C84" s="237" t="s">
        <v>2</v>
      </c>
      <c r="D84" s="69" t="s">
        <v>854</v>
      </c>
      <c r="E84" s="580" t="s">
        <v>855</v>
      </c>
      <c r="F84" s="581"/>
      <c r="G84" s="581"/>
      <c r="H84" s="582"/>
      <c r="I84" s="70" t="s">
        <v>856</v>
      </c>
      <c r="J84" s="8" t="s">
        <v>3</v>
      </c>
    </row>
    <row r="85" spans="1:10" ht="16.2" thickBot="1" x14ac:dyDescent="0.35">
      <c r="A85" s="9">
        <v>1</v>
      </c>
      <c r="B85" s="556" t="s">
        <v>212</v>
      </c>
      <c r="C85" s="557">
        <v>1071</v>
      </c>
      <c r="D85" s="553">
        <v>4944</v>
      </c>
      <c r="E85" s="553"/>
      <c r="F85" s="553"/>
      <c r="G85" s="553"/>
      <c r="H85" s="554">
        <f t="shared" ref="H85:H88" si="11">SUM(E85:G85)</f>
        <v>0</v>
      </c>
      <c r="I85" s="553">
        <f>D85-H85</f>
        <v>4944</v>
      </c>
      <c r="J85" s="553" t="s">
        <v>1736</v>
      </c>
    </row>
    <row r="86" spans="1:10" ht="16.2" thickBot="1" x14ac:dyDescent="0.35">
      <c r="A86" s="9">
        <v>2</v>
      </c>
      <c r="B86" s="552" t="s">
        <v>211</v>
      </c>
      <c r="C86" s="551">
        <v>1426</v>
      </c>
      <c r="D86" s="553">
        <v>4944</v>
      </c>
      <c r="E86" s="553"/>
      <c r="F86" s="553"/>
      <c r="G86" s="553"/>
      <c r="H86" s="554">
        <f t="shared" si="11"/>
        <v>0</v>
      </c>
      <c r="I86" s="553">
        <f t="shared" ref="I86:I89" si="12">D86-H86</f>
        <v>4944</v>
      </c>
      <c r="J86" s="553" t="s">
        <v>1736</v>
      </c>
    </row>
    <row r="87" spans="1:10" ht="16.2" thickBot="1" x14ac:dyDescent="0.35">
      <c r="A87" s="9">
        <v>3</v>
      </c>
      <c r="B87" s="112" t="s">
        <v>528</v>
      </c>
      <c r="C87" s="238">
        <v>1829</v>
      </c>
      <c r="D87" s="6">
        <v>4944</v>
      </c>
      <c r="E87" s="6">
        <v>3000</v>
      </c>
      <c r="F87" s="6"/>
      <c r="G87" s="6"/>
      <c r="H87" s="83">
        <f t="shared" si="11"/>
        <v>3000</v>
      </c>
      <c r="I87" s="6">
        <f t="shared" si="12"/>
        <v>1944</v>
      </c>
      <c r="J87" s="6"/>
    </row>
    <row r="88" spans="1:10" ht="16.2" thickBot="1" x14ac:dyDescent="0.35">
      <c r="A88" s="9">
        <v>4</v>
      </c>
      <c r="B88" s="112" t="s">
        <v>320</v>
      </c>
      <c r="C88" s="238">
        <v>1853</v>
      </c>
      <c r="D88" s="6">
        <v>4944</v>
      </c>
      <c r="E88" s="6">
        <v>1800</v>
      </c>
      <c r="F88" s="6"/>
      <c r="G88" s="6"/>
      <c r="H88" s="83">
        <f t="shared" si="11"/>
        <v>1800</v>
      </c>
      <c r="I88" s="6">
        <f t="shared" si="12"/>
        <v>3144</v>
      </c>
      <c r="J88" s="6"/>
    </row>
    <row r="89" spans="1:10" ht="16.2" thickBot="1" x14ac:dyDescent="0.35">
      <c r="A89" s="136">
        <v>5</v>
      </c>
      <c r="B89" s="301" t="s">
        <v>210</v>
      </c>
      <c r="C89" s="247">
        <v>875</v>
      </c>
      <c r="D89" s="6">
        <v>4944</v>
      </c>
      <c r="E89" s="83">
        <v>1000</v>
      </c>
      <c r="F89" s="83"/>
      <c r="G89" s="83"/>
      <c r="H89" s="83">
        <f>SUM(E89:G89)</f>
        <v>1000</v>
      </c>
      <c r="I89" s="6">
        <f t="shared" si="12"/>
        <v>3944</v>
      </c>
      <c r="J89" s="83"/>
    </row>
    <row r="90" spans="1:10" ht="15.6" x14ac:dyDescent="0.3">
      <c r="A90" s="138"/>
      <c r="B90" s="146"/>
      <c r="C90" s="248"/>
      <c r="D90" s="494">
        <f>SUM(D85:D89)</f>
        <v>24720</v>
      </c>
      <c r="E90" s="494">
        <f t="shared" ref="E90:I90" si="13">SUM(E85:E89)</f>
        <v>5800</v>
      </c>
      <c r="F90" s="494">
        <f t="shared" si="13"/>
        <v>0</v>
      </c>
      <c r="G90" s="494">
        <f t="shared" si="13"/>
        <v>0</v>
      </c>
      <c r="H90" s="494">
        <f t="shared" si="13"/>
        <v>5800</v>
      </c>
      <c r="I90" s="494">
        <f t="shared" si="13"/>
        <v>18920</v>
      </c>
      <c r="J90" s="92"/>
    </row>
    <row r="91" spans="1:10" ht="15.6" x14ac:dyDescent="0.3">
      <c r="A91" s="35"/>
      <c r="B91" s="300"/>
      <c r="C91" s="246"/>
      <c r="D91" s="42"/>
      <c r="E91" s="42"/>
      <c r="F91" s="42"/>
      <c r="G91" s="42"/>
      <c r="H91" s="42"/>
      <c r="I91" s="42"/>
      <c r="J91" s="43"/>
    </row>
    <row r="92" spans="1:10" x14ac:dyDescent="0.3">
      <c r="A92" s="172"/>
      <c r="B92" s="302"/>
      <c r="C92" s="249"/>
      <c r="D92" s="172"/>
      <c r="E92" s="172"/>
      <c r="F92" s="172"/>
      <c r="G92" s="172"/>
      <c r="H92" s="172"/>
      <c r="I92" s="172"/>
      <c r="J92" s="87"/>
    </row>
    <row r="93" spans="1:10" ht="15" thickBot="1" x14ac:dyDescent="0.35">
      <c r="A93" s="85" t="s">
        <v>1281</v>
      </c>
      <c r="B93" s="298"/>
      <c r="C93" s="243"/>
      <c r="D93" s="161"/>
      <c r="E93" s="161"/>
      <c r="F93" s="161"/>
      <c r="G93" s="161"/>
      <c r="H93" s="161"/>
      <c r="I93" s="161"/>
      <c r="J93" s="171"/>
    </row>
    <row r="94" spans="1:10" ht="27.6" thickBot="1" x14ac:dyDescent="0.35">
      <c r="A94" s="26" t="s">
        <v>0</v>
      </c>
      <c r="B94" s="295" t="s">
        <v>1</v>
      </c>
      <c r="C94" s="237" t="s">
        <v>2</v>
      </c>
      <c r="D94" s="69" t="s">
        <v>854</v>
      </c>
      <c r="E94" s="580" t="s">
        <v>855</v>
      </c>
      <c r="F94" s="581"/>
      <c r="G94" s="581"/>
      <c r="H94" s="582"/>
      <c r="I94" s="70" t="s">
        <v>856</v>
      </c>
      <c r="J94" s="8" t="s">
        <v>3</v>
      </c>
    </row>
    <row r="95" spans="1:10" ht="16.2" thickBot="1" x14ac:dyDescent="0.35">
      <c r="A95" s="9">
        <v>1</v>
      </c>
      <c r="B95" s="134" t="s">
        <v>1344</v>
      </c>
      <c r="C95" s="52"/>
      <c r="D95" s="6">
        <v>8148</v>
      </c>
      <c r="E95" s="6">
        <v>2040</v>
      </c>
      <c r="F95" s="6">
        <v>3000</v>
      </c>
      <c r="G95" s="6"/>
      <c r="H95" s="6">
        <f>SUM(E95:G95)</f>
        <v>5040</v>
      </c>
      <c r="I95" s="6">
        <f>D95-H95</f>
        <v>3108</v>
      </c>
      <c r="J95" s="6"/>
    </row>
    <row r="96" spans="1:10" ht="16.2" thickBot="1" x14ac:dyDescent="0.35">
      <c r="A96" s="136">
        <v>2</v>
      </c>
      <c r="B96" s="282" t="s">
        <v>1345</v>
      </c>
      <c r="C96" s="168"/>
      <c r="D96" s="83">
        <v>8148</v>
      </c>
      <c r="E96" s="83">
        <v>2040</v>
      </c>
      <c r="F96" s="83">
        <v>2000</v>
      </c>
      <c r="G96" s="83">
        <v>3000</v>
      </c>
      <c r="H96" s="6">
        <f t="shared" ref="H96:H103" si="14">SUM(E96:G96)</f>
        <v>7040</v>
      </c>
      <c r="I96" s="6">
        <f t="shared" ref="I96:I103" si="15">D96-H96</f>
        <v>1108</v>
      </c>
      <c r="J96" s="6" t="s">
        <v>1395</v>
      </c>
    </row>
    <row r="97" spans="1:11" ht="16.2" thickBot="1" x14ac:dyDescent="0.35">
      <c r="A97" s="9">
        <v>3</v>
      </c>
      <c r="B97" s="332" t="s">
        <v>1358</v>
      </c>
      <c r="C97" s="333"/>
      <c r="D97" s="83">
        <v>8148</v>
      </c>
      <c r="E97" s="334">
        <v>2040</v>
      </c>
      <c r="F97" s="334">
        <v>6108</v>
      </c>
      <c r="G97" s="334"/>
      <c r="H97" s="6">
        <f t="shared" si="14"/>
        <v>8148</v>
      </c>
      <c r="I97" s="6">
        <f t="shared" si="15"/>
        <v>0</v>
      </c>
      <c r="J97" s="6" t="s">
        <v>1395</v>
      </c>
    </row>
    <row r="98" spans="1:11" ht="16.2" thickBot="1" x14ac:dyDescent="0.35">
      <c r="A98" s="136">
        <v>4</v>
      </c>
      <c r="B98" s="458" t="s">
        <v>1595</v>
      </c>
      <c r="C98" s="459"/>
      <c r="D98" s="83">
        <v>6108</v>
      </c>
      <c r="E98" s="220">
        <v>3000</v>
      </c>
      <c r="F98" s="220"/>
      <c r="G98" s="220"/>
      <c r="H98" s="6">
        <f t="shared" si="14"/>
        <v>3000</v>
      </c>
      <c r="I98" s="6">
        <f t="shared" si="15"/>
        <v>3108</v>
      </c>
      <c r="J98" s="460" t="s">
        <v>1613</v>
      </c>
    </row>
    <row r="99" spans="1:11" ht="16.2" thickBot="1" x14ac:dyDescent="0.35">
      <c r="A99" s="9">
        <v>5</v>
      </c>
      <c r="B99" s="270" t="s">
        <v>1428</v>
      </c>
      <c r="C99" s="331"/>
      <c r="D99" s="83">
        <v>8148</v>
      </c>
      <c r="E99" s="74">
        <v>2040</v>
      </c>
      <c r="F99" s="74">
        <v>6108</v>
      </c>
      <c r="G99" s="74"/>
      <c r="H99" s="6">
        <f t="shared" si="14"/>
        <v>8148</v>
      </c>
      <c r="I99" s="6">
        <f t="shared" si="15"/>
        <v>0</v>
      </c>
      <c r="J99" s="6" t="s">
        <v>1395</v>
      </c>
    </row>
    <row r="100" spans="1:11" ht="16.2" thickBot="1" x14ac:dyDescent="0.35">
      <c r="A100" s="136">
        <v>6</v>
      </c>
      <c r="B100" s="288" t="s">
        <v>1439</v>
      </c>
      <c r="C100" s="405"/>
      <c r="D100" s="83">
        <v>8148</v>
      </c>
      <c r="E100" s="162">
        <v>2040</v>
      </c>
      <c r="F100" s="162">
        <v>3380</v>
      </c>
      <c r="G100" s="162"/>
      <c r="H100" s="6">
        <f t="shared" si="14"/>
        <v>5420</v>
      </c>
      <c r="I100" s="6">
        <f t="shared" si="15"/>
        <v>2728</v>
      </c>
      <c r="J100" s="406"/>
    </row>
    <row r="101" spans="1:11" ht="16.2" thickBot="1" x14ac:dyDescent="0.35">
      <c r="A101" s="9">
        <v>7</v>
      </c>
      <c r="B101" s="288" t="s">
        <v>1451</v>
      </c>
      <c r="C101" s="405">
        <v>3572</v>
      </c>
      <c r="D101" s="162">
        <v>8148</v>
      </c>
      <c r="E101" s="162">
        <v>2040</v>
      </c>
      <c r="F101" s="162">
        <v>6000</v>
      </c>
      <c r="G101" s="162"/>
      <c r="H101" s="6">
        <f t="shared" si="14"/>
        <v>8040</v>
      </c>
      <c r="I101" s="6">
        <f t="shared" si="15"/>
        <v>108</v>
      </c>
      <c r="J101" s="6" t="s">
        <v>1395</v>
      </c>
    </row>
    <row r="102" spans="1:11" ht="16.2" thickBot="1" x14ac:dyDescent="0.35">
      <c r="A102" s="136">
        <v>8</v>
      </c>
      <c r="B102" s="270" t="s">
        <v>1488</v>
      </c>
      <c r="C102" s="331"/>
      <c r="D102" s="74">
        <v>8148</v>
      </c>
      <c r="E102" s="74">
        <v>2040</v>
      </c>
      <c r="F102" s="74">
        <v>2000</v>
      </c>
      <c r="G102" s="74">
        <v>1000</v>
      </c>
      <c r="H102" s="6">
        <f t="shared" si="14"/>
        <v>5040</v>
      </c>
      <c r="I102" s="6">
        <f t="shared" si="15"/>
        <v>3108</v>
      </c>
      <c r="J102" s="6" t="s">
        <v>1395</v>
      </c>
    </row>
    <row r="103" spans="1:11" ht="16.2" thickBot="1" x14ac:dyDescent="0.35">
      <c r="A103" s="9">
        <v>9</v>
      </c>
      <c r="B103" s="270" t="s">
        <v>1505</v>
      </c>
      <c r="C103" s="331"/>
      <c r="D103" s="74">
        <v>8148</v>
      </c>
      <c r="E103" s="74">
        <v>2040</v>
      </c>
      <c r="F103" s="74">
        <v>3000</v>
      </c>
      <c r="G103" s="74"/>
      <c r="H103" s="6">
        <f t="shared" si="14"/>
        <v>5040</v>
      </c>
      <c r="I103" s="6">
        <f t="shared" si="15"/>
        <v>3108</v>
      </c>
      <c r="J103" s="74" t="s">
        <v>1395</v>
      </c>
    </row>
    <row r="104" spans="1:11" ht="15.6" x14ac:dyDescent="0.3">
      <c r="A104" s="35"/>
      <c r="B104" s="286"/>
      <c r="C104" s="252"/>
      <c r="D104" s="495">
        <f>SUM(D95:D103)</f>
        <v>71292</v>
      </c>
      <c r="E104" s="495">
        <f t="shared" ref="E104:I104" si="16">SUM(E95:E103)</f>
        <v>19320</v>
      </c>
      <c r="F104" s="495">
        <f t="shared" si="16"/>
        <v>31596</v>
      </c>
      <c r="G104" s="495">
        <f t="shared" si="16"/>
        <v>4000</v>
      </c>
      <c r="H104" s="495">
        <f t="shared" si="16"/>
        <v>54916</v>
      </c>
      <c r="I104" s="495">
        <f t="shared" si="16"/>
        <v>16376</v>
      </c>
      <c r="J104" s="43"/>
    </row>
    <row r="105" spans="1:11" ht="15.6" x14ac:dyDescent="0.3">
      <c r="A105" s="35"/>
      <c r="B105" s="300"/>
      <c r="C105" s="246"/>
      <c r="D105" s="42"/>
      <c r="E105" s="42"/>
      <c r="F105" s="42"/>
      <c r="G105" s="42"/>
      <c r="H105" s="42"/>
      <c r="I105" s="42"/>
      <c r="J105" s="43"/>
    </row>
    <row r="106" spans="1:11" ht="15.6" x14ac:dyDescent="0.3">
      <c r="A106" s="153"/>
      <c r="B106" s="303"/>
      <c r="C106" s="250"/>
      <c r="D106" s="87"/>
      <c r="E106" s="87"/>
      <c r="F106" s="87"/>
      <c r="G106" s="87"/>
      <c r="H106" s="88"/>
      <c r="I106" s="88"/>
      <c r="J106" s="87"/>
    </row>
    <row r="107" spans="1:11" ht="15" thickBot="1" x14ac:dyDescent="0.35">
      <c r="A107" s="85" t="s">
        <v>1282</v>
      </c>
      <c r="B107" s="298"/>
      <c r="C107" s="243"/>
      <c r="D107" s="161"/>
      <c r="E107" s="161"/>
      <c r="F107" s="161"/>
      <c r="G107" s="161"/>
      <c r="H107" s="161"/>
      <c r="I107" s="161"/>
      <c r="J107" s="171"/>
    </row>
    <row r="108" spans="1:11" ht="27.6" thickBot="1" x14ac:dyDescent="0.35">
      <c r="A108" s="24" t="s">
        <v>0</v>
      </c>
      <c r="B108" s="295" t="s">
        <v>1</v>
      </c>
      <c r="C108" s="237" t="s">
        <v>2</v>
      </c>
      <c r="D108" s="69" t="s">
        <v>854</v>
      </c>
      <c r="E108" s="580" t="s">
        <v>855</v>
      </c>
      <c r="F108" s="581"/>
      <c r="G108" s="581"/>
      <c r="H108" s="582"/>
      <c r="I108" s="70" t="s">
        <v>856</v>
      </c>
      <c r="J108" s="8" t="s">
        <v>3</v>
      </c>
    </row>
    <row r="109" spans="1:11" ht="16.2" thickBot="1" x14ac:dyDescent="0.35">
      <c r="A109" s="17">
        <v>1</v>
      </c>
      <c r="B109" s="297" t="s">
        <v>504</v>
      </c>
      <c r="C109" s="10"/>
      <c r="D109" s="6">
        <v>5388</v>
      </c>
      <c r="E109" s="6"/>
      <c r="F109" s="6"/>
      <c r="G109" s="6"/>
      <c r="H109" s="6">
        <f t="shared" ref="H109:H118" si="17">SUM(E109:G109)</f>
        <v>0</v>
      </c>
      <c r="I109" s="6">
        <f>D109-H109</f>
        <v>5388</v>
      </c>
      <c r="J109" s="6"/>
    </row>
    <row r="110" spans="1:11" ht="16.2" thickBot="1" x14ac:dyDescent="0.35">
      <c r="A110" s="17">
        <v>2</v>
      </c>
      <c r="B110" s="131" t="s">
        <v>500</v>
      </c>
      <c r="C110" s="10">
        <v>3014</v>
      </c>
      <c r="D110" s="6">
        <v>5388</v>
      </c>
      <c r="E110" s="6"/>
      <c r="F110" s="6"/>
      <c r="G110" s="6"/>
      <c r="H110" s="6">
        <f t="shared" si="17"/>
        <v>0</v>
      </c>
      <c r="I110" s="6">
        <f t="shared" ref="I110:I118" si="18">D110-H110</f>
        <v>5388</v>
      </c>
      <c r="J110" s="6"/>
    </row>
    <row r="111" spans="1:11" ht="16.2" thickBot="1" x14ac:dyDescent="0.35">
      <c r="A111" s="17">
        <v>3</v>
      </c>
      <c r="B111" s="297" t="s">
        <v>498</v>
      </c>
      <c r="C111" s="10">
        <v>2985</v>
      </c>
      <c r="D111" s="6">
        <v>5388</v>
      </c>
      <c r="E111" s="6"/>
      <c r="F111" s="6"/>
      <c r="G111" s="6"/>
      <c r="H111" s="6">
        <f t="shared" si="17"/>
        <v>0</v>
      </c>
      <c r="I111" s="6">
        <f t="shared" si="18"/>
        <v>5388</v>
      </c>
      <c r="J111" s="6" t="s">
        <v>1395</v>
      </c>
    </row>
    <row r="112" spans="1:11" ht="16.2" thickBot="1" x14ac:dyDescent="0.35">
      <c r="A112" s="17">
        <v>4</v>
      </c>
      <c r="B112" s="112" t="s">
        <v>497</v>
      </c>
      <c r="C112" s="238">
        <v>2087</v>
      </c>
      <c r="D112" s="6">
        <v>5388</v>
      </c>
      <c r="E112" s="6">
        <v>3000</v>
      </c>
      <c r="F112" s="6"/>
      <c r="G112" s="6"/>
      <c r="H112" s="6">
        <f t="shared" si="17"/>
        <v>3000</v>
      </c>
      <c r="I112" s="6">
        <f t="shared" si="18"/>
        <v>2388</v>
      </c>
      <c r="J112" s="6" t="s">
        <v>1395</v>
      </c>
      <c r="K112" t="s">
        <v>1725</v>
      </c>
    </row>
    <row r="113" spans="1:10" ht="16.2" thickBot="1" x14ac:dyDescent="0.35">
      <c r="A113" s="17">
        <v>5</v>
      </c>
      <c r="B113" s="112" t="s">
        <v>499</v>
      </c>
      <c r="C113" s="238">
        <v>2989</v>
      </c>
      <c r="D113" s="6">
        <v>5388</v>
      </c>
      <c r="E113" s="6">
        <v>5000</v>
      </c>
      <c r="F113" s="6">
        <v>380</v>
      </c>
      <c r="G113" s="6"/>
      <c r="H113" s="6">
        <f t="shared" si="17"/>
        <v>5380</v>
      </c>
      <c r="I113" s="6">
        <f t="shared" si="18"/>
        <v>8</v>
      </c>
      <c r="J113" s="284" t="s">
        <v>1395</v>
      </c>
    </row>
    <row r="114" spans="1:10" ht="16.2" thickBot="1" x14ac:dyDescent="0.35">
      <c r="A114" s="17">
        <v>6</v>
      </c>
      <c r="B114" s="131" t="s">
        <v>502</v>
      </c>
      <c r="C114" s="10">
        <v>2990</v>
      </c>
      <c r="D114" s="6">
        <v>5388</v>
      </c>
      <c r="E114" s="6"/>
      <c r="F114" s="6"/>
      <c r="G114" s="6"/>
      <c r="H114" s="6">
        <f t="shared" si="17"/>
        <v>0</v>
      </c>
      <c r="I114" s="6">
        <f t="shared" si="18"/>
        <v>5388</v>
      </c>
      <c r="J114" s="6"/>
    </row>
    <row r="115" spans="1:10" ht="16.2" thickBot="1" x14ac:dyDescent="0.35">
      <c r="A115" s="17">
        <v>7</v>
      </c>
      <c r="B115" s="112" t="s">
        <v>501</v>
      </c>
      <c r="C115" s="238">
        <v>2991</v>
      </c>
      <c r="D115" s="6">
        <v>5388</v>
      </c>
      <c r="E115" s="6"/>
      <c r="F115" s="6"/>
      <c r="G115" s="6"/>
      <c r="H115" s="6">
        <f t="shared" si="17"/>
        <v>0</v>
      </c>
      <c r="I115" s="6">
        <f t="shared" si="18"/>
        <v>5388</v>
      </c>
      <c r="J115" s="6"/>
    </row>
    <row r="116" spans="1:10" ht="16.2" thickBot="1" x14ac:dyDescent="0.35">
      <c r="A116" s="9">
        <v>8</v>
      </c>
      <c r="B116" s="112" t="s">
        <v>496</v>
      </c>
      <c r="C116" s="238"/>
      <c r="D116" s="6">
        <v>5388</v>
      </c>
      <c r="E116" s="6">
        <v>2000</v>
      </c>
      <c r="F116" s="6"/>
      <c r="G116" s="6"/>
      <c r="H116" s="6">
        <f t="shared" si="17"/>
        <v>2000</v>
      </c>
      <c r="I116" s="6">
        <f t="shared" si="18"/>
        <v>3388</v>
      </c>
      <c r="J116" s="6" t="s">
        <v>1628</v>
      </c>
    </row>
    <row r="117" spans="1:10" ht="16.2" thickBot="1" x14ac:dyDescent="0.35">
      <c r="A117" s="17">
        <v>9</v>
      </c>
      <c r="B117" s="112" t="s">
        <v>503</v>
      </c>
      <c r="C117" s="238">
        <v>1461</v>
      </c>
      <c r="D117" s="6">
        <v>5388</v>
      </c>
      <c r="E117" s="6">
        <v>5388</v>
      </c>
      <c r="F117" s="6"/>
      <c r="G117" s="6"/>
      <c r="H117" s="6">
        <f>SUM(E117:G117)</f>
        <v>5388</v>
      </c>
      <c r="I117" s="6">
        <f t="shared" si="18"/>
        <v>0</v>
      </c>
      <c r="J117" s="6"/>
    </row>
    <row r="118" spans="1:10" ht="16.2" thickBot="1" x14ac:dyDescent="0.35">
      <c r="A118" s="136">
        <v>10</v>
      </c>
      <c r="B118" s="135" t="s">
        <v>505</v>
      </c>
      <c r="C118" s="251">
        <v>2995</v>
      </c>
      <c r="D118" s="6">
        <v>5388</v>
      </c>
      <c r="E118" s="83"/>
      <c r="F118" s="83"/>
      <c r="G118" s="83"/>
      <c r="H118" s="6">
        <f t="shared" si="17"/>
        <v>0</v>
      </c>
      <c r="I118" s="6">
        <f t="shared" si="18"/>
        <v>5388</v>
      </c>
      <c r="J118" s="83" t="s">
        <v>1395</v>
      </c>
    </row>
    <row r="119" spans="1:10" ht="15.6" x14ac:dyDescent="0.3">
      <c r="A119" s="138"/>
      <c r="B119" s="146"/>
      <c r="C119" s="248"/>
      <c r="D119" s="494">
        <f>SUM(D109:D118)</f>
        <v>53880</v>
      </c>
      <c r="E119" s="494">
        <f t="shared" ref="E119:I119" si="19">SUM(E109:E118)</f>
        <v>15388</v>
      </c>
      <c r="F119" s="494">
        <f t="shared" si="19"/>
        <v>380</v>
      </c>
      <c r="G119" s="494">
        <f t="shared" si="19"/>
        <v>0</v>
      </c>
      <c r="H119" s="494">
        <f t="shared" si="19"/>
        <v>15768</v>
      </c>
      <c r="I119" s="494">
        <f t="shared" si="19"/>
        <v>38112</v>
      </c>
      <c r="J119" s="92"/>
    </row>
    <row r="120" spans="1:10" ht="15.6" x14ac:dyDescent="0.3">
      <c r="A120" s="35"/>
      <c r="B120" s="300"/>
      <c r="C120" s="252"/>
      <c r="D120" s="42"/>
      <c r="E120" s="42"/>
      <c r="F120" s="42"/>
      <c r="G120" s="42"/>
      <c r="H120" s="42"/>
      <c r="I120" s="42"/>
      <c r="J120" s="43"/>
    </row>
    <row r="121" spans="1:10" ht="15.6" x14ac:dyDescent="0.3">
      <c r="A121" s="153"/>
      <c r="B121" s="303"/>
      <c r="C121" s="250"/>
      <c r="D121" s="88"/>
      <c r="E121" s="88"/>
      <c r="F121" s="88"/>
      <c r="G121" s="88"/>
      <c r="H121" s="88"/>
      <c r="I121" s="88"/>
      <c r="J121" s="87"/>
    </row>
    <row r="122" spans="1:10" ht="15" thickBot="1" x14ac:dyDescent="0.35">
      <c r="A122" s="85" t="s">
        <v>1283</v>
      </c>
      <c r="B122" s="298"/>
      <c r="C122" s="243"/>
      <c r="D122" s="161"/>
      <c r="E122" s="161"/>
      <c r="F122" s="161"/>
      <c r="G122" s="161"/>
      <c r="H122" s="161"/>
      <c r="I122" s="161"/>
      <c r="J122" s="171"/>
    </row>
    <row r="123" spans="1:10" ht="27.6" thickBot="1" x14ac:dyDescent="0.35">
      <c r="A123" s="26" t="s">
        <v>0</v>
      </c>
      <c r="B123" s="295" t="s">
        <v>1</v>
      </c>
      <c r="C123" s="237" t="s">
        <v>2</v>
      </c>
      <c r="D123" s="69" t="s">
        <v>854</v>
      </c>
      <c r="E123" s="580" t="s">
        <v>855</v>
      </c>
      <c r="F123" s="581"/>
      <c r="G123" s="581"/>
      <c r="H123" s="582"/>
      <c r="I123" s="70" t="s">
        <v>856</v>
      </c>
      <c r="J123" s="8" t="s">
        <v>3</v>
      </c>
    </row>
    <row r="124" spans="1:10" ht="16.2" thickBot="1" x14ac:dyDescent="0.35">
      <c r="A124" s="17">
        <v>1</v>
      </c>
      <c r="B124" s="112" t="s">
        <v>206</v>
      </c>
      <c r="C124" s="238">
        <v>1369</v>
      </c>
      <c r="D124" s="4">
        <v>5196</v>
      </c>
      <c r="E124" s="6"/>
      <c r="F124" s="6"/>
      <c r="G124" s="6"/>
      <c r="H124" s="6">
        <f>SUM(E124:G124)</f>
        <v>0</v>
      </c>
      <c r="I124" s="6">
        <f>D124-H124</f>
        <v>5196</v>
      </c>
      <c r="J124" s="6"/>
    </row>
    <row r="125" spans="1:10" ht="16.2" thickBot="1" x14ac:dyDescent="0.35">
      <c r="A125" s="17">
        <v>2</v>
      </c>
      <c r="B125" s="304" t="s">
        <v>213</v>
      </c>
      <c r="C125" s="10">
        <v>2435</v>
      </c>
      <c r="D125" s="4">
        <v>5196</v>
      </c>
      <c r="E125" s="6">
        <v>2300</v>
      </c>
      <c r="F125" s="6">
        <v>2896</v>
      </c>
      <c r="G125" s="6"/>
      <c r="H125" s="6">
        <f>SUM(E125:G125)</f>
        <v>5196</v>
      </c>
      <c r="I125" s="6">
        <f t="shared" ref="I125:I131" si="20">D125-H125</f>
        <v>0</v>
      </c>
      <c r="J125" s="6" t="s">
        <v>1395</v>
      </c>
    </row>
    <row r="126" spans="1:10" ht="16.2" thickBot="1" x14ac:dyDescent="0.35">
      <c r="A126" s="17">
        <v>3</v>
      </c>
      <c r="B126" s="134" t="s">
        <v>110</v>
      </c>
      <c r="C126" s="10">
        <v>2437</v>
      </c>
      <c r="D126" s="4">
        <v>5196</v>
      </c>
      <c r="E126" s="6">
        <v>5196</v>
      </c>
      <c r="F126" s="6"/>
      <c r="G126" s="6"/>
      <c r="H126" s="6">
        <f t="shared" ref="H126:H131" si="21">SUM(E126:G126)</f>
        <v>5196</v>
      </c>
      <c r="I126" s="6">
        <f t="shared" si="20"/>
        <v>0</v>
      </c>
      <c r="J126" s="6" t="s">
        <v>1723</v>
      </c>
    </row>
    <row r="127" spans="1:10" ht="16.2" thickBot="1" x14ac:dyDescent="0.35">
      <c r="A127" s="17">
        <v>4</v>
      </c>
      <c r="B127" s="112" t="s">
        <v>235</v>
      </c>
      <c r="C127" s="238">
        <v>2438</v>
      </c>
      <c r="D127" s="4">
        <v>5196</v>
      </c>
      <c r="E127" s="6">
        <v>1250</v>
      </c>
      <c r="F127" s="6"/>
      <c r="G127" s="6"/>
      <c r="H127" s="6">
        <f t="shared" si="21"/>
        <v>1250</v>
      </c>
      <c r="I127" s="6">
        <f t="shared" si="20"/>
        <v>3946</v>
      </c>
      <c r="J127" s="6"/>
    </row>
    <row r="128" spans="1:10" ht="16.2" thickBot="1" x14ac:dyDescent="0.35">
      <c r="A128" s="17">
        <v>5</v>
      </c>
      <c r="B128" s="112" t="s">
        <v>214</v>
      </c>
      <c r="C128" s="238">
        <v>2440</v>
      </c>
      <c r="D128" s="4">
        <v>5196</v>
      </c>
      <c r="E128" s="6">
        <v>2500</v>
      </c>
      <c r="F128" s="6"/>
      <c r="G128" s="6"/>
      <c r="H128" s="6">
        <f t="shared" si="21"/>
        <v>2500</v>
      </c>
      <c r="I128" s="6">
        <f t="shared" si="20"/>
        <v>2696</v>
      </c>
      <c r="J128" s="6" t="s">
        <v>1395</v>
      </c>
    </row>
    <row r="129" spans="1:11" ht="16.2" thickBot="1" x14ac:dyDescent="0.35">
      <c r="A129" s="17">
        <v>6</v>
      </c>
      <c r="B129" s="112" t="s">
        <v>112</v>
      </c>
      <c r="C129" s="238">
        <v>2454</v>
      </c>
      <c r="D129" s="4">
        <v>5196</v>
      </c>
      <c r="E129" s="6"/>
      <c r="F129" s="6"/>
      <c r="G129" s="6"/>
      <c r="H129" s="6">
        <f t="shared" si="21"/>
        <v>0</v>
      </c>
      <c r="I129" s="6">
        <f t="shared" si="20"/>
        <v>5196</v>
      </c>
      <c r="J129" s="6"/>
    </row>
    <row r="130" spans="1:11" ht="16.2" thickBot="1" x14ac:dyDescent="0.35">
      <c r="A130" s="17">
        <v>7</v>
      </c>
      <c r="B130" s="112" t="s">
        <v>1196</v>
      </c>
      <c r="C130" s="238">
        <v>2436</v>
      </c>
      <c r="D130" s="4">
        <v>5196</v>
      </c>
      <c r="E130" s="6"/>
      <c r="F130" s="6"/>
      <c r="G130" s="6"/>
      <c r="H130" s="6">
        <f t="shared" si="21"/>
        <v>0</v>
      </c>
      <c r="I130" s="6">
        <f t="shared" si="20"/>
        <v>5196</v>
      </c>
      <c r="J130" s="7"/>
    </row>
    <row r="131" spans="1:11" ht="16.2" thickBot="1" x14ac:dyDescent="0.35">
      <c r="A131" s="81">
        <v>8</v>
      </c>
      <c r="B131" s="135" t="s">
        <v>1197</v>
      </c>
      <c r="C131" s="251">
        <v>2441</v>
      </c>
      <c r="D131" s="4">
        <v>5196</v>
      </c>
      <c r="E131" s="83"/>
      <c r="F131" s="83"/>
      <c r="G131" s="83"/>
      <c r="H131" s="6">
        <f t="shared" si="21"/>
        <v>0</v>
      </c>
      <c r="I131" s="6">
        <f t="shared" si="20"/>
        <v>5196</v>
      </c>
      <c r="J131" s="84"/>
      <c r="K131" s="531" t="s">
        <v>1725</v>
      </c>
    </row>
    <row r="132" spans="1:11" ht="15.6" x14ac:dyDescent="0.3">
      <c r="A132" s="138"/>
      <c r="B132" s="187"/>
      <c r="C132" s="160"/>
      <c r="D132" s="494">
        <f>SUM(D124:D131)</f>
        <v>41568</v>
      </c>
      <c r="E132" s="494">
        <f t="shared" ref="E132:I132" si="22">SUM(E124:E131)</f>
        <v>11246</v>
      </c>
      <c r="F132" s="494">
        <f t="shared" si="22"/>
        <v>2896</v>
      </c>
      <c r="G132" s="494">
        <f t="shared" si="22"/>
        <v>0</v>
      </c>
      <c r="H132" s="494">
        <f t="shared" si="22"/>
        <v>14142</v>
      </c>
      <c r="I132" s="494">
        <f t="shared" si="22"/>
        <v>27426</v>
      </c>
      <c r="J132" s="92"/>
    </row>
    <row r="133" spans="1:11" ht="15.6" x14ac:dyDescent="0.3">
      <c r="A133" s="35"/>
      <c r="B133" s="188"/>
      <c r="C133" s="38"/>
      <c r="D133" s="42"/>
      <c r="E133" s="42"/>
      <c r="F133" s="42"/>
      <c r="G133" s="42"/>
      <c r="H133" s="42"/>
      <c r="I133" s="42"/>
      <c r="J133" s="43"/>
    </row>
    <row r="134" spans="1:11" ht="15.6" x14ac:dyDescent="0.3">
      <c r="A134" s="153"/>
      <c r="B134" s="305"/>
      <c r="C134" s="253"/>
      <c r="D134" s="88"/>
      <c r="E134" s="88"/>
      <c r="F134" s="88"/>
      <c r="G134" s="88"/>
      <c r="H134" s="88"/>
      <c r="I134" s="88"/>
      <c r="J134" s="87"/>
    </row>
    <row r="135" spans="1:11" ht="15" thickBot="1" x14ac:dyDescent="0.35">
      <c r="A135" s="85" t="s">
        <v>1284</v>
      </c>
      <c r="B135" s="298"/>
      <c r="C135" s="243"/>
      <c r="D135" s="161"/>
      <c r="E135" s="161"/>
      <c r="F135" s="161"/>
      <c r="G135" s="161"/>
      <c r="H135" s="161"/>
      <c r="I135" s="161"/>
      <c r="J135" s="171"/>
    </row>
    <row r="136" spans="1:11" ht="27.6" thickBot="1" x14ac:dyDescent="0.35">
      <c r="A136" s="48" t="s">
        <v>0</v>
      </c>
      <c r="B136" s="295" t="s">
        <v>1</v>
      </c>
      <c r="C136" s="237" t="s">
        <v>2</v>
      </c>
      <c r="D136" s="69" t="s">
        <v>854</v>
      </c>
      <c r="E136" s="580" t="s">
        <v>855</v>
      </c>
      <c r="F136" s="581"/>
      <c r="G136" s="581"/>
      <c r="H136" s="582"/>
      <c r="I136" s="70" t="s">
        <v>856</v>
      </c>
      <c r="J136" s="8" t="s">
        <v>3</v>
      </c>
    </row>
    <row r="137" spans="1:11" ht="16.2" thickBot="1" x14ac:dyDescent="0.35">
      <c r="A137" s="17">
        <v>1</v>
      </c>
      <c r="B137" s="131" t="s">
        <v>333</v>
      </c>
      <c r="C137" s="10">
        <v>1825</v>
      </c>
      <c r="D137" s="6">
        <v>4944</v>
      </c>
      <c r="E137" s="6">
        <v>2000</v>
      </c>
      <c r="F137" s="6"/>
      <c r="G137" s="6"/>
      <c r="H137" s="6">
        <f>SUM(E137:G137)</f>
        <v>2000</v>
      </c>
      <c r="I137" s="6">
        <f>D137-H137</f>
        <v>2944</v>
      </c>
      <c r="J137" s="6" t="s">
        <v>1638</v>
      </c>
    </row>
    <row r="138" spans="1:11" ht="16.2" thickBot="1" x14ac:dyDescent="0.35">
      <c r="A138" s="17">
        <v>2</v>
      </c>
      <c r="B138" s="131" t="s">
        <v>495</v>
      </c>
      <c r="C138" s="10">
        <v>1836</v>
      </c>
      <c r="D138" s="6">
        <v>4944</v>
      </c>
      <c r="E138" s="6">
        <v>1401</v>
      </c>
      <c r="F138" s="6"/>
      <c r="G138" s="6"/>
      <c r="H138" s="6">
        <f t="shared" ref="H138:H139" si="23">SUM(E138:G138)</f>
        <v>1401</v>
      </c>
      <c r="I138" s="6">
        <f t="shared" ref="I138:I139" si="24">D138-H138</f>
        <v>3543</v>
      </c>
      <c r="J138" s="6"/>
    </row>
    <row r="139" spans="1:11" ht="16.2" thickBot="1" x14ac:dyDescent="0.35">
      <c r="A139" s="81">
        <v>3</v>
      </c>
      <c r="B139" s="282" t="s">
        <v>26</v>
      </c>
      <c r="C139" s="159">
        <v>1828</v>
      </c>
      <c r="D139" s="6">
        <v>4944</v>
      </c>
      <c r="E139" s="83">
        <v>400</v>
      </c>
      <c r="F139" s="83"/>
      <c r="G139" s="83"/>
      <c r="H139" s="6">
        <f t="shared" si="23"/>
        <v>400</v>
      </c>
      <c r="I139" s="6">
        <f t="shared" si="24"/>
        <v>4544</v>
      </c>
      <c r="J139" s="83"/>
    </row>
    <row r="140" spans="1:11" ht="15.6" x14ac:dyDescent="0.3">
      <c r="A140" s="89"/>
      <c r="B140" s="306"/>
      <c r="C140" s="160"/>
      <c r="D140" s="494">
        <f>SUM(D137:D139)</f>
        <v>14832</v>
      </c>
      <c r="E140" s="494">
        <f t="shared" ref="E140:I140" si="25">SUM(E137:E139)</f>
        <v>3801</v>
      </c>
      <c r="F140" s="494">
        <f t="shared" si="25"/>
        <v>0</v>
      </c>
      <c r="G140" s="494">
        <f t="shared" si="25"/>
        <v>0</v>
      </c>
      <c r="H140" s="494">
        <f t="shared" si="25"/>
        <v>3801</v>
      </c>
      <c r="I140" s="494">
        <f t="shared" si="25"/>
        <v>11031</v>
      </c>
      <c r="J140" s="92"/>
    </row>
    <row r="141" spans="1:11" ht="15.6" x14ac:dyDescent="0.3">
      <c r="A141" s="35"/>
      <c r="B141" s="300"/>
      <c r="C141" s="246"/>
      <c r="D141" s="43"/>
      <c r="E141" s="43"/>
      <c r="F141" s="43"/>
      <c r="G141" s="43"/>
      <c r="H141" s="42"/>
      <c r="I141" s="42"/>
      <c r="J141" s="43"/>
    </row>
    <row r="142" spans="1:11" ht="16.2" thickBot="1" x14ac:dyDescent="0.35">
      <c r="A142" s="153"/>
      <c r="B142" s="303"/>
      <c r="C142" s="250"/>
      <c r="D142" s="88"/>
      <c r="E142" s="88"/>
      <c r="F142" s="88"/>
      <c r="G142" s="88"/>
      <c r="H142" s="88"/>
      <c r="I142" s="88"/>
      <c r="J142" s="87"/>
    </row>
    <row r="143" spans="1:11" ht="15" thickBot="1" x14ac:dyDescent="0.35">
      <c r="A143" s="14" t="s">
        <v>215</v>
      </c>
      <c r="B143" s="133"/>
      <c r="C143" s="236"/>
      <c r="D143" s="15"/>
      <c r="E143" s="15"/>
      <c r="F143" s="15"/>
      <c r="G143" s="15"/>
      <c r="H143" s="15"/>
      <c r="I143" s="15"/>
      <c r="J143" s="25"/>
    </row>
    <row r="144" spans="1:11" ht="27.6" thickBot="1" x14ac:dyDescent="0.35">
      <c r="A144" s="64" t="s">
        <v>0</v>
      </c>
      <c r="B144" s="295" t="s">
        <v>1</v>
      </c>
      <c r="C144" s="237" t="s">
        <v>2</v>
      </c>
      <c r="D144" s="69" t="s">
        <v>854</v>
      </c>
      <c r="E144" s="580" t="s">
        <v>855</v>
      </c>
      <c r="F144" s="581"/>
      <c r="G144" s="581"/>
      <c r="H144" s="582"/>
      <c r="I144" s="70" t="s">
        <v>856</v>
      </c>
      <c r="J144" s="8" t="s">
        <v>3</v>
      </c>
    </row>
    <row r="145" spans="1:10" ht="16.2" thickBot="1" x14ac:dyDescent="0.35">
      <c r="A145" s="17">
        <v>1</v>
      </c>
      <c r="B145" s="297" t="s">
        <v>1361</v>
      </c>
      <c r="C145" s="10"/>
      <c r="D145" s="6">
        <v>9072</v>
      </c>
      <c r="E145" s="6">
        <v>2040</v>
      </c>
      <c r="F145" s="6">
        <v>1600</v>
      </c>
      <c r="G145" s="6">
        <v>5432</v>
      </c>
      <c r="H145" s="6">
        <f>SUM(E145:G145)</f>
        <v>9072</v>
      </c>
      <c r="I145" s="6">
        <f>D145-H145</f>
        <v>0</v>
      </c>
      <c r="J145" s="6" t="s">
        <v>1395</v>
      </c>
    </row>
    <row r="146" spans="1:10" ht="16.2" thickBot="1" x14ac:dyDescent="0.35">
      <c r="A146" s="151">
        <v>2</v>
      </c>
      <c r="B146" s="337" t="s">
        <v>1457</v>
      </c>
      <c r="C146" s="338"/>
      <c r="D146" s="152">
        <v>9072</v>
      </c>
      <c r="E146" s="152">
        <v>2040</v>
      </c>
      <c r="F146" s="152">
        <v>3000</v>
      </c>
      <c r="G146" s="152">
        <v>2232</v>
      </c>
      <c r="H146" s="6">
        <f>SUM(E146:G146)</f>
        <v>7272</v>
      </c>
      <c r="I146" s="6">
        <f>D146-H146</f>
        <v>1800</v>
      </c>
      <c r="J146" s="152" t="s">
        <v>1395</v>
      </c>
    </row>
    <row r="147" spans="1:10" ht="15.6" x14ac:dyDescent="0.3">
      <c r="A147" s="35"/>
      <c r="B147" s="300"/>
      <c r="C147" s="246"/>
      <c r="D147" s="495">
        <f>SUM(D145:D146)</f>
        <v>18144</v>
      </c>
      <c r="E147" s="495">
        <f t="shared" ref="E147:I147" si="26">SUM(E145:E146)</f>
        <v>4080</v>
      </c>
      <c r="F147" s="495">
        <f t="shared" si="26"/>
        <v>4600</v>
      </c>
      <c r="G147" s="495">
        <f t="shared" si="26"/>
        <v>7664</v>
      </c>
      <c r="H147" s="495">
        <f t="shared" si="26"/>
        <v>16344</v>
      </c>
      <c r="I147" s="495">
        <f t="shared" si="26"/>
        <v>1800</v>
      </c>
      <c r="J147" s="43"/>
    </row>
    <row r="148" spans="1:10" ht="15.6" x14ac:dyDescent="0.3">
      <c r="A148" s="35"/>
      <c r="B148" s="300"/>
      <c r="C148" s="246"/>
      <c r="D148" s="42"/>
      <c r="E148" s="42"/>
      <c r="F148" s="42"/>
      <c r="G148" s="42"/>
      <c r="H148" s="42"/>
      <c r="I148" s="42"/>
      <c r="J148" s="43"/>
    </row>
    <row r="149" spans="1:10" ht="16.2" thickBot="1" x14ac:dyDescent="0.35">
      <c r="A149" s="35"/>
      <c r="B149" s="300"/>
      <c r="C149" s="246"/>
      <c r="D149" s="42"/>
      <c r="E149" s="42"/>
      <c r="F149" s="42"/>
      <c r="G149" s="42"/>
      <c r="H149" s="42"/>
      <c r="I149" s="42"/>
      <c r="J149" s="43"/>
    </row>
    <row r="150" spans="1:10" ht="15" thickBot="1" x14ac:dyDescent="0.35">
      <c r="A150" s="14" t="s">
        <v>1285</v>
      </c>
      <c r="B150" s="133"/>
      <c r="C150" s="236"/>
      <c r="D150" s="15"/>
      <c r="E150" s="15"/>
      <c r="F150" s="15"/>
      <c r="G150" s="15"/>
      <c r="H150" s="15"/>
      <c r="I150" s="15"/>
      <c r="J150" s="25"/>
    </row>
    <row r="151" spans="1:10" ht="27.6" thickBot="1" x14ac:dyDescent="0.35">
      <c r="A151" s="33" t="s">
        <v>0</v>
      </c>
      <c r="B151" s="295" t="s">
        <v>1</v>
      </c>
      <c r="C151" s="237" t="s">
        <v>2</v>
      </c>
      <c r="D151" s="69" t="s">
        <v>854</v>
      </c>
      <c r="E151" s="580" t="s">
        <v>855</v>
      </c>
      <c r="F151" s="581"/>
      <c r="G151" s="581"/>
      <c r="H151" s="582"/>
      <c r="I151" s="70" t="s">
        <v>856</v>
      </c>
      <c r="J151" s="8" t="s">
        <v>3</v>
      </c>
    </row>
    <row r="152" spans="1:10" ht="16.2" thickBot="1" x14ac:dyDescent="0.35">
      <c r="A152" s="17">
        <v>1</v>
      </c>
      <c r="B152" s="297" t="s">
        <v>506</v>
      </c>
      <c r="C152" s="10">
        <v>2986</v>
      </c>
      <c r="D152" s="6">
        <v>6108</v>
      </c>
      <c r="E152" s="6">
        <v>1500</v>
      </c>
      <c r="F152" s="6"/>
      <c r="G152" s="6"/>
      <c r="H152" s="6">
        <f>SUM(E152:G152)</f>
        <v>1500</v>
      </c>
      <c r="I152" s="6">
        <f>D152-H152</f>
        <v>4608</v>
      </c>
      <c r="J152" s="6" t="s">
        <v>1395</v>
      </c>
    </row>
    <row r="153" spans="1:10" ht="16.2" thickBot="1" x14ac:dyDescent="0.35">
      <c r="A153" s="81">
        <v>2</v>
      </c>
      <c r="B153" s="282" t="s">
        <v>507</v>
      </c>
      <c r="C153" s="159"/>
      <c r="D153" s="6">
        <v>6108</v>
      </c>
      <c r="E153" s="83">
        <v>3000</v>
      </c>
      <c r="F153" s="83"/>
      <c r="G153" s="83"/>
      <c r="H153" s="6">
        <f>SUM(E153:G153)</f>
        <v>3000</v>
      </c>
      <c r="I153" s="6">
        <f>D153-H153</f>
        <v>3108</v>
      </c>
      <c r="J153" s="83"/>
    </row>
    <row r="154" spans="1:10" ht="15.6" x14ac:dyDescent="0.3">
      <c r="A154" s="89"/>
      <c r="B154" s="148"/>
      <c r="C154" s="240"/>
      <c r="D154" s="494">
        <f>SUM(D152:D153)</f>
        <v>12216</v>
      </c>
      <c r="E154" s="494">
        <f t="shared" ref="E154:I154" si="27">SUM(E152:E153)</f>
        <v>4500</v>
      </c>
      <c r="F154" s="494">
        <f t="shared" si="27"/>
        <v>0</v>
      </c>
      <c r="G154" s="494">
        <f t="shared" si="27"/>
        <v>0</v>
      </c>
      <c r="H154" s="494">
        <f t="shared" si="27"/>
        <v>4500</v>
      </c>
      <c r="I154" s="494">
        <f t="shared" si="27"/>
        <v>7716</v>
      </c>
      <c r="J154" s="92"/>
    </row>
    <row r="155" spans="1:10" ht="15.6" x14ac:dyDescent="0.3">
      <c r="A155" s="39"/>
      <c r="B155" s="307"/>
      <c r="C155" s="38"/>
      <c r="D155" s="42"/>
      <c r="E155" s="42"/>
      <c r="F155" s="42"/>
      <c r="G155" s="42"/>
      <c r="H155" s="42"/>
      <c r="I155" s="42"/>
      <c r="J155" s="43"/>
    </row>
    <row r="156" spans="1:10" ht="15.6" x14ac:dyDescent="0.3">
      <c r="A156" s="153"/>
      <c r="B156" s="303"/>
      <c r="C156" s="250"/>
      <c r="D156" s="87"/>
      <c r="E156" s="87"/>
      <c r="F156" s="87"/>
      <c r="G156" s="87"/>
      <c r="H156" s="88"/>
      <c r="I156" s="88"/>
      <c r="J156" s="87"/>
    </row>
    <row r="157" spans="1:10" ht="15" thickBot="1" x14ac:dyDescent="0.35">
      <c r="A157" s="85" t="s">
        <v>1286</v>
      </c>
      <c r="B157" s="298"/>
      <c r="C157" s="243"/>
      <c r="D157" s="161"/>
      <c r="E157" s="161"/>
      <c r="F157" s="161"/>
      <c r="G157" s="161"/>
      <c r="H157" s="161"/>
      <c r="I157" s="161"/>
      <c r="J157" s="171"/>
    </row>
    <row r="158" spans="1:10" ht="27.6" thickBot="1" x14ac:dyDescent="0.35">
      <c r="A158" s="48" t="s">
        <v>0</v>
      </c>
      <c r="B158" s="295" t="s">
        <v>1</v>
      </c>
      <c r="C158" s="237" t="s">
        <v>2</v>
      </c>
      <c r="D158" s="69" t="s">
        <v>854</v>
      </c>
      <c r="E158" s="580" t="s">
        <v>855</v>
      </c>
      <c r="F158" s="581"/>
      <c r="G158" s="581"/>
      <c r="H158" s="582"/>
      <c r="I158" s="70" t="s">
        <v>856</v>
      </c>
      <c r="J158" s="8" t="s">
        <v>3</v>
      </c>
    </row>
    <row r="159" spans="1:10" ht="16.2" thickBot="1" x14ac:dyDescent="0.35">
      <c r="A159" s="17">
        <v>1</v>
      </c>
      <c r="B159" s="297" t="s">
        <v>216</v>
      </c>
      <c r="C159" s="10">
        <v>2462</v>
      </c>
      <c r="D159" s="6">
        <v>5388</v>
      </c>
      <c r="E159" s="6">
        <v>3000</v>
      </c>
      <c r="F159" s="6">
        <v>2388</v>
      </c>
      <c r="G159" s="6"/>
      <c r="H159" s="6">
        <f>SUM(E159:G159)</f>
        <v>5388</v>
      </c>
      <c r="I159" s="6">
        <f>D159-H159</f>
        <v>0</v>
      </c>
      <c r="J159" s="6" t="s">
        <v>1723</v>
      </c>
    </row>
    <row r="160" spans="1:10" ht="16.2" thickBot="1" x14ac:dyDescent="0.35">
      <c r="A160" s="81">
        <v>2</v>
      </c>
      <c r="B160" s="282" t="s">
        <v>217</v>
      </c>
      <c r="C160" s="159">
        <v>852</v>
      </c>
      <c r="D160" s="83">
        <v>5388</v>
      </c>
      <c r="E160" s="6">
        <v>1500</v>
      </c>
      <c r="F160" s="83"/>
      <c r="G160" s="83"/>
      <c r="H160" s="6">
        <f>SUM(E160:G160)</f>
        <v>1500</v>
      </c>
      <c r="I160" s="6">
        <f>D160-H160</f>
        <v>3888</v>
      </c>
      <c r="J160" s="83"/>
    </row>
    <row r="161" spans="1:10" ht="15.6" x14ac:dyDescent="0.3">
      <c r="A161" s="89"/>
      <c r="B161" s="148"/>
      <c r="C161" s="240"/>
      <c r="D161" s="494">
        <f>SUM(D159:D160)</f>
        <v>10776</v>
      </c>
      <c r="E161" s="494">
        <f t="shared" ref="E161:I161" si="28">SUM(E159:E160)</f>
        <v>4500</v>
      </c>
      <c r="F161" s="494">
        <f t="shared" si="28"/>
        <v>2388</v>
      </c>
      <c r="G161" s="494">
        <f t="shared" si="28"/>
        <v>0</v>
      </c>
      <c r="H161" s="494">
        <f t="shared" si="28"/>
        <v>6888</v>
      </c>
      <c r="I161" s="494">
        <f t="shared" si="28"/>
        <v>3888</v>
      </c>
      <c r="J161" s="92"/>
    </row>
    <row r="162" spans="1:10" ht="15.6" x14ac:dyDescent="0.3">
      <c r="A162" s="39"/>
      <c r="B162" s="307"/>
      <c r="C162" s="38"/>
      <c r="D162" s="42"/>
      <c r="E162" s="42"/>
      <c r="F162" s="42"/>
      <c r="G162" s="42"/>
      <c r="H162" s="42"/>
      <c r="I162" s="42"/>
      <c r="J162" s="43"/>
    </row>
    <row r="163" spans="1:10" ht="15.6" x14ac:dyDescent="0.3">
      <c r="A163" s="153"/>
      <c r="B163" s="303"/>
      <c r="C163" s="250"/>
      <c r="D163" s="87"/>
      <c r="E163" s="87"/>
      <c r="F163" s="87"/>
      <c r="G163" s="87"/>
      <c r="H163" s="88"/>
      <c r="I163" s="88"/>
      <c r="J163" s="87"/>
    </row>
    <row r="164" spans="1:10" ht="15" thickBot="1" x14ac:dyDescent="0.35">
      <c r="A164" s="85" t="s">
        <v>1287</v>
      </c>
      <c r="B164" s="298"/>
      <c r="C164" s="243"/>
      <c r="D164" s="161"/>
      <c r="E164" s="161"/>
      <c r="F164" s="161"/>
      <c r="G164" s="161"/>
      <c r="H164" s="161"/>
      <c r="I164" s="161"/>
      <c r="J164" s="171"/>
    </row>
    <row r="165" spans="1:10" ht="27.6" thickBot="1" x14ac:dyDescent="0.35">
      <c r="A165" s="77" t="s">
        <v>0</v>
      </c>
      <c r="B165" s="318" t="s">
        <v>1</v>
      </c>
      <c r="C165" s="319" t="s">
        <v>2</v>
      </c>
      <c r="D165" s="78" t="s">
        <v>854</v>
      </c>
      <c r="E165" s="584" t="s">
        <v>855</v>
      </c>
      <c r="F165" s="585"/>
      <c r="G165" s="585"/>
      <c r="H165" s="586"/>
      <c r="I165" s="268" t="s">
        <v>856</v>
      </c>
      <c r="J165" s="76" t="s">
        <v>3</v>
      </c>
    </row>
    <row r="166" spans="1:10" ht="16.2" thickBot="1" x14ac:dyDescent="0.35">
      <c r="A166" s="272">
        <v>1</v>
      </c>
      <c r="B166" s="270" t="s">
        <v>1346</v>
      </c>
      <c r="C166" s="320"/>
      <c r="D166" s="74">
        <v>7428</v>
      </c>
      <c r="E166" s="74">
        <v>2040</v>
      </c>
      <c r="F166" s="74">
        <v>3500</v>
      </c>
      <c r="G166" s="74">
        <v>1888</v>
      </c>
      <c r="H166" s="74">
        <f>SUM(E166:G166)</f>
        <v>7428</v>
      </c>
      <c r="I166" s="74">
        <f>D166-H166</f>
        <v>0</v>
      </c>
      <c r="J166" s="6" t="s">
        <v>1395</v>
      </c>
    </row>
    <row r="167" spans="1:10" ht="16.2" thickBot="1" x14ac:dyDescent="0.35">
      <c r="A167" s="272">
        <v>2</v>
      </c>
      <c r="B167" s="270" t="s">
        <v>1356</v>
      </c>
      <c r="C167" s="320"/>
      <c r="D167" s="74">
        <v>7428</v>
      </c>
      <c r="E167" s="74">
        <v>2040</v>
      </c>
      <c r="F167" s="74">
        <v>2000</v>
      </c>
      <c r="G167" s="74"/>
      <c r="H167" s="74">
        <f t="shared" ref="H167:H171" si="29">SUM(E167:G167)</f>
        <v>4040</v>
      </c>
      <c r="I167" s="74">
        <f t="shared" ref="I167:I171" si="30">D167-H167</f>
        <v>3388</v>
      </c>
      <c r="J167" s="6" t="s">
        <v>1395</v>
      </c>
    </row>
    <row r="168" spans="1:10" ht="16.2" thickBot="1" x14ac:dyDescent="0.35">
      <c r="A168" s="272">
        <v>3</v>
      </c>
      <c r="B168" s="270" t="s">
        <v>1371</v>
      </c>
      <c r="C168" s="320"/>
      <c r="D168" s="74">
        <v>7428</v>
      </c>
      <c r="E168" s="74">
        <v>2040</v>
      </c>
      <c r="F168" s="74">
        <v>1900</v>
      </c>
      <c r="G168" s="74">
        <v>1900</v>
      </c>
      <c r="H168" s="74">
        <f t="shared" si="29"/>
        <v>5840</v>
      </c>
      <c r="I168" s="74">
        <f t="shared" si="30"/>
        <v>1588</v>
      </c>
      <c r="J168" s="6" t="s">
        <v>1395</v>
      </c>
    </row>
    <row r="169" spans="1:10" ht="15.6" x14ac:dyDescent="0.3">
      <c r="A169" s="272">
        <v>4</v>
      </c>
      <c r="B169" s="270" t="s">
        <v>1446</v>
      </c>
      <c r="C169" s="320"/>
      <c r="D169" s="74">
        <v>7428</v>
      </c>
      <c r="E169" s="74">
        <v>2040</v>
      </c>
      <c r="F169" s="74">
        <v>3000</v>
      </c>
      <c r="G169" s="74"/>
      <c r="H169" s="74">
        <f t="shared" si="29"/>
        <v>5040</v>
      </c>
      <c r="I169" s="74">
        <f t="shared" si="30"/>
        <v>2388</v>
      </c>
      <c r="J169" s="74" t="s">
        <v>1395</v>
      </c>
    </row>
    <row r="170" spans="1:10" ht="15.6" x14ac:dyDescent="0.3">
      <c r="A170" s="272">
        <v>5</v>
      </c>
      <c r="B170" s="270" t="s">
        <v>1480</v>
      </c>
      <c r="C170" s="320"/>
      <c r="D170" s="74">
        <v>7428</v>
      </c>
      <c r="E170" s="74">
        <v>2040</v>
      </c>
      <c r="F170" s="74">
        <v>1500</v>
      </c>
      <c r="G170" s="74"/>
      <c r="H170" s="74">
        <f t="shared" si="29"/>
        <v>3540</v>
      </c>
      <c r="I170" s="74">
        <f t="shared" si="30"/>
        <v>3888</v>
      </c>
      <c r="J170" s="74"/>
    </row>
    <row r="171" spans="1:10" ht="15.6" x14ac:dyDescent="0.3">
      <c r="A171" s="272">
        <v>6</v>
      </c>
      <c r="B171" s="275" t="s">
        <v>1464</v>
      </c>
      <c r="C171" s="408"/>
      <c r="D171" s="74">
        <v>7428</v>
      </c>
      <c r="E171" s="271">
        <v>3000</v>
      </c>
      <c r="F171" s="75"/>
      <c r="G171" s="75"/>
      <c r="H171" s="74">
        <f t="shared" si="29"/>
        <v>3000</v>
      </c>
      <c r="I171" s="74">
        <f t="shared" si="30"/>
        <v>4428</v>
      </c>
      <c r="J171" s="74" t="s">
        <v>1395</v>
      </c>
    </row>
    <row r="172" spans="1:10" ht="15.6" x14ac:dyDescent="0.3">
      <c r="A172" s="35"/>
      <c r="B172" s="300"/>
      <c r="C172" s="246"/>
      <c r="D172" s="505">
        <f>SUM(D166:D171)</f>
        <v>44568</v>
      </c>
      <c r="E172" s="505">
        <f t="shared" ref="E172:I172" si="31">SUM(E166:E171)</f>
        <v>13200</v>
      </c>
      <c r="F172" s="505">
        <f t="shared" si="31"/>
        <v>11900</v>
      </c>
      <c r="G172" s="505">
        <f t="shared" si="31"/>
        <v>3788</v>
      </c>
      <c r="H172" s="505">
        <f t="shared" si="31"/>
        <v>28888</v>
      </c>
      <c r="I172" s="505">
        <f t="shared" si="31"/>
        <v>15680</v>
      </c>
      <c r="J172" s="43"/>
    </row>
    <row r="173" spans="1:10" ht="15.6" x14ac:dyDescent="0.3">
      <c r="A173" s="35"/>
      <c r="B173" s="300"/>
      <c r="C173" s="246"/>
      <c r="D173" s="43"/>
      <c r="E173" s="43"/>
      <c r="F173" s="43"/>
      <c r="G173" s="43"/>
      <c r="H173" s="42"/>
      <c r="I173" s="42"/>
      <c r="J173" s="43"/>
    </row>
    <row r="174" spans="1:10" x14ac:dyDescent="0.3">
      <c r="A174" s="327" t="s">
        <v>1288</v>
      </c>
      <c r="B174" s="274"/>
      <c r="C174" s="328"/>
      <c r="D174" s="329"/>
      <c r="E174" s="329"/>
      <c r="F174" s="329"/>
      <c r="G174" s="329"/>
      <c r="H174" s="329"/>
      <c r="I174" s="329"/>
      <c r="J174" s="330"/>
    </row>
    <row r="175" spans="1:10" ht="27.6" thickBot="1" x14ac:dyDescent="0.35">
      <c r="A175" s="321" t="s">
        <v>0</v>
      </c>
      <c r="B175" s="322" t="s">
        <v>1</v>
      </c>
      <c r="C175" s="323" t="s">
        <v>2</v>
      </c>
      <c r="D175" s="324" t="s">
        <v>854</v>
      </c>
      <c r="E175" s="587" t="s">
        <v>855</v>
      </c>
      <c r="F175" s="588"/>
      <c r="G175" s="588"/>
      <c r="H175" s="589"/>
      <c r="I175" s="325" t="s">
        <v>856</v>
      </c>
      <c r="J175" s="326" t="s">
        <v>3</v>
      </c>
    </row>
    <row r="176" spans="1:10" ht="15.6" x14ac:dyDescent="0.3">
      <c r="A176" s="136">
        <v>1</v>
      </c>
      <c r="B176" s="282" t="s">
        <v>508</v>
      </c>
      <c r="C176" s="159"/>
      <c r="D176" s="83">
        <v>5316</v>
      </c>
      <c r="E176" s="83">
        <v>4000</v>
      </c>
      <c r="F176" s="83"/>
      <c r="G176" s="83"/>
      <c r="H176" s="83">
        <f>SUM(E176:G176)</f>
        <v>4000</v>
      </c>
      <c r="I176" s="83">
        <f>D176-H176</f>
        <v>1316</v>
      </c>
      <c r="J176" s="83"/>
    </row>
    <row r="177" spans="1:10" ht="15.6" x14ac:dyDescent="0.3">
      <c r="A177" s="89"/>
      <c r="B177" s="187"/>
      <c r="C177" s="160"/>
      <c r="D177" s="91"/>
      <c r="E177" s="91"/>
      <c r="F177" s="91"/>
      <c r="G177" s="91"/>
      <c r="H177" s="91"/>
      <c r="I177" s="91"/>
      <c r="J177" s="91"/>
    </row>
    <row r="178" spans="1:10" ht="15.6" x14ac:dyDescent="0.3">
      <c r="A178" s="35"/>
      <c r="B178" s="300"/>
      <c r="C178" s="246"/>
      <c r="D178" s="42"/>
      <c r="E178" s="42"/>
      <c r="F178" s="42"/>
      <c r="G178" s="42"/>
      <c r="H178" s="42"/>
      <c r="I178" s="42"/>
      <c r="J178" s="43"/>
    </row>
    <row r="179" spans="1:10" ht="16.2" thickBot="1" x14ac:dyDescent="0.35">
      <c r="A179" s="35"/>
      <c r="B179" s="300"/>
      <c r="C179" s="246"/>
      <c r="D179" s="42"/>
      <c r="E179" s="42"/>
      <c r="F179" s="42"/>
      <c r="G179" s="42"/>
      <c r="H179" s="42"/>
      <c r="I179" s="42"/>
      <c r="J179" s="43"/>
    </row>
    <row r="180" spans="1:10" ht="15" thickBot="1" x14ac:dyDescent="0.35">
      <c r="A180" s="14" t="s">
        <v>1289</v>
      </c>
      <c r="B180" s="133"/>
      <c r="C180" s="236"/>
      <c r="D180" s="15"/>
      <c r="E180" s="15"/>
      <c r="F180" s="15"/>
      <c r="G180" s="15"/>
      <c r="H180" s="15"/>
      <c r="I180" s="15"/>
      <c r="J180" s="25"/>
    </row>
    <row r="181" spans="1:10" ht="27.6" thickBot="1" x14ac:dyDescent="0.35">
      <c r="A181" s="24" t="s">
        <v>0</v>
      </c>
      <c r="B181" s="295" t="s">
        <v>1</v>
      </c>
      <c r="C181" s="237" t="s">
        <v>2</v>
      </c>
      <c r="D181" s="69" t="s">
        <v>854</v>
      </c>
      <c r="E181" s="580" t="s">
        <v>855</v>
      </c>
      <c r="F181" s="581"/>
      <c r="G181" s="581"/>
      <c r="H181" s="582"/>
      <c r="I181" s="70" t="s">
        <v>856</v>
      </c>
      <c r="J181" s="8" t="s">
        <v>3</v>
      </c>
    </row>
    <row r="182" spans="1:10" ht="16.2" thickBot="1" x14ac:dyDescent="0.35">
      <c r="A182" s="17">
        <v>1</v>
      </c>
      <c r="B182" s="112" t="s">
        <v>922</v>
      </c>
      <c r="C182" s="238">
        <v>2470</v>
      </c>
      <c r="D182" s="6">
        <v>4944</v>
      </c>
      <c r="E182" s="6"/>
      <c r="F182" s="6"/>
      <c r="G182" s="6"/>
      <c r="H182" s="83">
        <f t="shared" ref="H182:H183" si="32">SUM(E182:G182)</f>
        <v>0</v>
      </c>
      <c r="I182" s="6">
        <f>D182-H182</f>
        <v>4944</v>
      </c>
      <c r="J182" s="6"/>
    </row>
    <row r="183" spans="1:10" ht="16.2" thickBot="1" x14ac:dyDescent="0.35">
      <c r="A183" s="9">
        <v>2</v>
      </c>
      <c r="B183" s="112" t="s">
        <v>1201</v>
      </c>
      <c r="C183" s="238">
        <v>2455</v>
      </c>
      <c r="D183" s="6">
        <v>4944</v>
      </c>
      <c r="E183" s="6"/>
      <c r="F183" s="6"/>
      <c r="G183" s="6"/>
      <c r="H183" s="83">
        <f t="shared" si="32"/>
        <v>0</v>
      </c>
      <c r="I183" s="6">
        <f t="shared" ref="I183:I184" si="33">D183-H183</f>
        <v>4944</v>
      </c>
      <c r="J183" s="7"/>
    </row>
    <row r="184" spans="1:10" ht="16.2" thickBot="1" x14ac:dyDescent="0.35">
      <c r="A184" s="136">
        <v>3</v>
      </c>
      <c r="B184" s="135" t="s">
        <v>1202</v>
      </c>
      <c r="C184" s="251">
        <v>2468</v>
      </c>
      <c r="D184" s="6">
        <v>4944</v>
      </c>
      <c r="E184" s="83">
        <v>671</v>
      </c>
      <c r="F184" s="83"/>
      <c r="G184" s="83"/>
      <c r="H184" s="83">
        <f>SUM(E184:G184)</f>
        <v>671</v>
      </c>
      <c r="I184" s="6">
        <f t="shared" si="33"/>
        <v>4273</v>
      </c>
      <c r="J184" s="84"/>
    </row>
    <row r="185" spans="1:10" ht="15.6" x14ac:dyDescent="0.3">
      <c r="A185" s="138"/>
      <c r="B185" s="146"/>
      <c r="C185" s="248"/>
      <c r="D185" s="498">
        <f>SUM(D182:D184)</f>
        <v>14832</v>
      </c>
      <c r="E185" s="498">
        <f t="shared" ref="E185:I185" si="34">SUM(E182:E184)</f>
        <v>671</v>
      </c>
      <c r="F185" s="498">
        <f t="shared" si="34"/>
        <v>0</v>
      </c>
      <c r="G185" s="498">
        <f t="shared" si="34"/>
        <v>0</v>
      </c>
      <c r="H185" s="498">
        <f t="shared" si="34"/>
        <v>671</v>
      </c>
      <c r="I185" s="498">
        <f t="shared" si="34"/>
        <v>14161</v>
      </c>
      <c r="J185" s="92"/>
    </row>
    <row r="186" spans="1:10" ht="15.6" x14ac:dyDescent="0.3">
      <c r="A186" s="35"/>
      <c r="B186" s="300"/>
      <c r="C186" s="246"/>
      <c r="D186" s="42"/>
      <c r="E186" s="42"/>
      <c r="F186" s="42"/>
      <c r="G186" s="42"/>
      <c r="H186" s="42"/>
      <c r="I186" s="42"/>
      <c r="J186" s="43"/>
    </row>
    <row r="187" spans="1:10" ht="15.6" x14ac:dyDescent="0.3">
      <c r="A187" s="87"/>
      <c r="B187" s="280"/>
      <c r="C187" s="242"/>
      <c r="D187" s="88"/>
      <c r="E187" s="88"/>
      <c r="F187" s="88"/>
      <c r="G187" s="88"/>
      <c r="H187" s="88"/>
      <c r="I187" s="88"/>
      <c r="J187" s="87"/>
    </row>
    <row r="188" spans="1:10" ht="15" thickBot="1" x14ac:dyDescent="0.35">
      <c r="A188" s="85" t="s">
        <v>1290</v>
      </c>
      <c r="B188" s="298"/>
      <c r="C188" s="243"/>
      <c r="D188" s="161"/>
      <c r="E188" s="161"/>
      <c r="F188" s="161"/>
      <c r="G188" s="161"/>
      <c r="H188" s="161"/>
      <c r="I188" s="161"/>
      <c r="J188" s="171"/>
    </row>
    <row r="189" spans="1:10" ht="27.6" thickBot="1" x14ac:dyDescent="0.35">
      <c r="A189" s="24" t="s">
        <v>0</v>
      </c>
      <c r="B189" s="295" t="s">
        <v>1</v>
      </c>
      <c r="C189" s="237" t="s">
        <v>2</v>
      </c>
      <c r="D189" s="69" t="s">
        <v>854</v>
      </c>
      <c r="E189" s="580" t="s">
        <v>855</v>
      </c>
      <c r="F189" s="581"/>
      <c r="G189" s="581"/>
      <c r="H189" s="582"/>
      <c r="I189" s="70" t="s">
        <v>856</v>
      </c>
      <c r="J189" s="8" t="s">
        <v>3</v>
      </c>
    </row>
    <row r="190" spans="1:10" ht="16.2" thickBot="1" x14ac:dyDescent="0.35">
      <c r="A190" s="81">
        <v>1</v>
      </c>
      <c r="B190" s="135" t="s">
        <v>1323</v>
      </c>
      <c r="C190" s="251"/>
      <c r="D190" s="83">
        <v>7356</v>
      </c>
      <c r="E190" s="83">
        <v>2040</v>
      </c>
      <c r="F190" s="83">
        <v>5300</v>
      </c>
      <c r="G190" s="83"/>
      <c r="H190" s="83">
        <f>SUM(E190:G190)</f>
        <v>7340</v>
      </c>
      <c r="I190" s="83">
        <f>D190-H190</f>
        <v>16</v>
      </c>
      <c r="J190" s="83"/>
    </row>
    <row r="191" spans="1:10" ht="15.6" x14ac:dyDescent="0.3">
      <c r="A191" s="81">
        <v>2</v>
      </c>
      <c r="B191" s="275" t="s">
        <v>1481</v>
      </c>
      <c r="C191" s="408"/>
      <c r="D191" s="83">
        <v>7356</v>
      </c>
      <c r="E191" s="74">
        <v>2040</v>
      </c>
      <c r="F191" s="74">
        <v>3000</v>
      </c>
      <c r="G191" s="74"/>
      <c r="H191" s="83">
        <f>SUM(E191:G191)</f>
        <v>5040</v>
      </c>
      <c r="I191" s="83">
        <f>D191-H191</f>
        <v>2316</v>
      </c>
      <c r="J191" s="74"/>
    </row>
    <row r="192" spans="1:10" ht="15.6" x14ac:dyDescent="0.3">
      <c r="A192" s="138"/>
      <c r="B192" s="146"/>
      <c r="C192" s="248"/>
      <c r="D192" s="494">
        <f>SUM(D190:D191)</f>
        <v>14712</v>
      </c>
      <c r="E192" s="494">
        <f t="shared" ref="E192:I192" si="35">SUM(E190:E191)</f>
        <v>4080</v>
      </c>
      <c r="F192" s="494">
        <f t="shared" si="35"/>
        <v>8300</v>
      </c>
      <c r="G192" s="494">
        <f t="shared" si="35"/>
        <v>0</v>
      </c>
      <c r="H192" s="494">
        <f t="shared" si="35"/>
        <v>12380</v>
      </c>
      <c r="I192" s="494">
        <f t="shared" si="35"/>
        <v>2332</v>
      </c>
      <c r="J192" s="91"/>
    </row>
    <row r="193" spans="1:18" ht="15.6" x14ac:dyDescent="0.3">
      <c r="A193" s="35"/>
      <c r="B193" s="300"/>
      <c r="C193" s="246"/>
      <c r="D193" s="42"/>
      <c r="E193" s="42"/>
      <c r="F193" s="42"/>
      <c r="G193" s="42"/>
      <c r="H193" s="42"/>
      <c r="I193" s="42"/>
      <c r="J193" s="43"/>
    </row>
    <row r="194" spans="1:18" ht="15.6" x14ac:dyDescent="0.3">
      <c r="A194" s="153"/>
      <c r="B194" s="303"/>
      <c r="C194" s="250"/>
      <c r="D194" s="88"/>
      <c r="E194" s="88"/>
      <c r="F194" s="88"/>
      <c r="G194" s="88"/>
      <c r="H194" s="88"/>
      <c r="I194" s="88"/>
      <c r="J194" s="87"/>
    </row>
    <row r="195" spans="1:18" ht="15" thickBot="1" x14ac:dyDescent="0.35">
      <c r="A195" s="85" t="s">
        <v>1291</v>
      </c>
      <c r="B195" s="298"/>
      <c r="C195" s="243"/>
      <c r="D195" s="161"/>
      <c r="E195" s="161"/>
      <c r="F195" s="161"/>
      <c r="G195" s="161"/>
      <c r="H195" s="161"/>
      <c r="I195" s="161"/>
      <c r="J195" s="171"/>
    </row>
    <row r="196" spans="1:18" ht="27.6" thickBot="1" x14ac:dyDescent="0.35">
      <c r="A196" s="24" t="s">
        <v>0</v>
      </c>
      <c r="B196" s="295" t="s">
        <v>1</v>
      </c>
      <c r="C196" s="237" t="s">
        <v>2</v>
      </c>
      <c r="D196" s="69" t="s">
        <v>854</v>
      </c>
      <c r="E196" s="580" t="s">
        <v>855</v>
      </c>
      <c r="F196" s="581"/>
      <c r="G196" s="581"/>
      <c r="H196" s="582"/>
      <c r="I196" s="70" t="s">
        <v>856</v>
      </c>
      <c r="J196" s="8" t="s">
        <v>3</v>
      </c>
    </row>
    <row r="197" spans="1:18" ht="16.2" thickBot="1" x14ac:dyDescent="0.35">
      <c r="A197" s="81">
        <v>1</v>
      </c>
      <c r="B197" s="282" t="s">
        <v>858</v>
      </c>
      <c r="C197" s="159"/>
      <c r="D197" s="83">
        <v>4944</v>
      </c>
      <c r="E197" s="83"/>
      <c r="F197" s="83"/>
      <c r="G197" s="83"/>
      <c r="H197" s="42">
        <f t="shared" ref="H197:H198" si="36">SUM(E197:G197)</f>
        <v>0</v>
      </c>
      <c r="I197" s="83">
        <f>D197-H197</f>
        <v>4944</v>
      </c>
      <c r="J197" s="84"/>
    </row>
    <row r="198" spans="1:18" ht="16.2" thickBot="1" x14ac:dyDescent="0.35">
      <c r="A198" s="138">
        <v>2</v>
      </c>
      <c r="B198" s="308" t="s">
        <v>490</v>
      </c>
      <c r="C198" s="238">
        <v>3019</v>
      </c>
      <c r="D198" s="152">
        <v>4944</v>
      </c>
      <c r="E198" s="6"/>
      <c r="F198" s="6"/>
      <c r="G198" s="6"/>
      <c r="H198" s="42">
        <f t="shared" si="36"/>
        <v>0</v>
      </c>
      <c r="I198" s="83">
        <f t="shared" ref="I198:I199" si="37">D198-H198</f>
        <v>4944</v>
      </c>
      <c r="J198" s="7"/>
    </row>
    <row r="199" spans="1:18" ht="15.6" x14ac:dyDescent="0.3">
      <c r="A199" s="35"/>
      <c r="B199" s="300" t="s">
        <v>1198</v>
      </c>
      <c r="C199" s="246">
        <v>3017</v>
      </c>
      <c r="D199" s="152">
        <v>4944</v>
      </c>
      <c r="E199" s="42">
        <v>2500</v>
      </c>
      <c r="F199" s="42"/>
      <c r="G199" s="42"/>
      <c r="H199" s="42">
        <f>SUM(E199:G199)</f>
        <v>2500</v>
      </c>
      <c r="I199" s="83">
        <f t="shared" si="37"/>
        <v>2444</v>
      </c>
      <c r="J199" s="43" t="s">
        <v>1395</v>
      </c>
      <c r="R199" t="s">
        <v>1548</v>
      </c>
    </row>
    <row r="200" spans="1:18" ht="15.6" x14ac:dyDescent="0.3">
      <c r="A200" s="87"/>
      <c r="B200" s="280"/>
      <c r="C200" s="242"/>
      <c r="D200" s="506">
        <f>SUM(D197:D199)</f>
        <v>14832</v>
      </c>
      <c r="E200" s="506">
        <f t="shared" ref="E200:I200" si="38">SUM(E197:E199)</f>
        <v>2500</v>
      </c>
      <c r="F200" s="506">
        <f t="shared" si="38"/>
        <v>0</v>
      </c>
      <c r="G200" s="506">
        <f t="shared" si="38"/>
        <v>0</v>
      </c>
      <c r="H200" s="506">
        <f t="shared" si="38"/>
        <v>2500</v>
      </c>
      <c r="I200" s="506">
        <f t="shared" si="38"/>
        <v>12332</v>
      </c>
      <c r="J200" s="87"/>
    </row>
    <row r="201" spans="1:18" ht="15.6" x14ac:dyDescent="0.3">
      <c r="A201" s="35"/>
      <c r="B201" s="300"/>
      <c r="C201" s="246"/>
      <c r="D201" s="42"/>
      <c r="E201" s="42"/>
      <c r="F201" s="42"/>
      <c r="G201" s="42"/>
      <c r="H201" s="42"/>
      <c r="I201" s="42"/>
      <c r="J201" s="43"/>
    </row>
    <row r="202" spans="1:18" ht="15.6" x14ac:dyDescent="0.3">
      <c r="A202" s="35"/>
      <c r="B202" s="300"/>
      <c r="C202" s="246"/>
      <c r="D202" s="42"/>
      <c r="E202" s="42"/>
      <c r="F202" s="42"/>
      <c r="G202" s="42"/>
      <c r="H202" s="42"/>
      <c r="I202" s="42"/>
      <c r="J202" s="43"/>
    </row>
    <row r="203" spans="1:18" ht="16.2" thickBot="1" x14ac:dyDescent="0.35">
      <c r="A203" s="35"/>
      <c r="B203" s="300"/>
      <c r="C203" s="246"/>
      <c r="D203" s="42"/>
      <c r="E203" s="42"/>
      <c r="F203" s="42"/>
      <c r="G203" s="42"/>
      <c r="H203" s="42"/>
      <c r="I203" s="42"/>
      <c r="J203" s="43"/>
    </row>
    <row r="204" spans="1:18" ht="15" thickBot="1" x14ac:dyDescent="0.35">
      <c r="A204" s="14" t="s">
        <v>1292</v>
      </c>
      <c r="B204" s="133"/>
      <c r="C204" s="236"/>
      <c r="D204" s="15"/>
      <c r="E204" s="15"/>
      <c r="F204" s="15"/>
      <c r="G204" s="15"/>
      <c r="H204" s="15"/>
      <c r="I204" s="15"/>
      <c r="J204" s="25"/>
    </row>
    <row r="205" spans="1:18" ht="27.6" thickBot="1" x14ac:dyDescent="0.35">
      <c r="A205" s="26" t="s">
        <v>0</v>
      </c>
      <c r="B205" s="295" t="s">
        <v>1</v>
      </c>
      <c r="C205" s="237" t="s">
        <v>2</v>
      </c>
      <c r="D205" s="69" t="s">
        <v>854</v>
      </c>
      <c r="E205" s="580" t="s">
        <v>855</v>
      </c>
      <c r="F205" s="581"/>
      <c r="G205" s="581"/>
      <c r="H205" s="582"/>
      <c r="I205" s="70" t="s">
        <v>856</v>
      </c>
      <c r="J205" s="8" t="s">
        <v>3</v>
      </c>
    </row>
    <row r="206" spans="1:18" ht="16.2" thickBot="1" x14ac:dyDescent="0.35">
      <c r="A206" s="9">
        <v>1</v>
      </c>
      <c r="B206" s="112" t="s">
        <v>109</v>
      </c>
      <c r="C206" s="238"/>
      <c r="D206" s="6">
        <v>5196</v>
      </c>
      <c r="E206" s="6"/>
      <c r="F206" s="6"/>
      <c r="G206" s="6"/>
      <c r="H206" s="6"/>
      <c r="I206" s="6">
        <f>D206-E206-F206-G206-H206</f>
        <v>5196</v>
      </c>
      <c r="J206" s="6"/>
    </row>
    <row r="207" spans="1:18" ht="16.2" thickBot="1" x14ac:dyDescent="0.35">
      <c r="A207" s="9">
        <v>2</v>
      </c>
      <c r="B207" s="131" t="s">
        <v>302</v>
      </c>
      <c r="C207" s="238">
        <v>2473</v>
      </c>
      <c r="D207" s="6">
        <v>5196</v>
      </c>
      <c r="E207" s="6"/>
      <c r="F207" s="6"/>
      <c r="G207" s="6"/>
      <c r="H207" s="6"/>
      <c r="I207" s="6">
        <f t="shared" ref="I207" si="39">D207-E207-F207-G207-H207</f>
        <v>5196</v>
      </c>
      <c r="J207" s="6"/>
    </row>
    <row r="208" spans="1:18" ht="15.6" x14ac:dyDescent="0.3">
      <c r="A208" s="138"/>
      <c r="B208" s="146"/>
      <c r="C208" s="248"/>
      <c r="D208" s="494">
        <f>SUM(D206:D207)</f>
        <v>10392</v>
      </c>
      <c r="E208" s="494">
        <f t="shared" ref="E208:I208" si="40">SUM(E206:E207)</f>
        <v>0</v>
      </c>
      <c r="F208" s="494">
        <f t="shared" si="40"/>
        <v>0</v>
      </c>
      <c r="G208" s="494">
        <f t="shared" si="40"/>
        <v>0</v>
      </c>
      <c r="H208" s="494">
        <f t="shared" si="40"/>
        <v>0</v>
      </c>
      <c r="I208" s="494">
        <f t="shared" si="40"/>
        <v>10392</v>
      </c>
      <c r="J208" s="92"/>
    </row>
    <row r="209" spans="1:10" ht="15.6" x14ac:dyDescent="0.3">
      <c r="A209" s="35"/>
      <c r="B209" s="300"/>
      <c r="C209" s="246"/>
      <c r="D209" s="42"/>
      <c r="E209" s="42"/>
      <c r="F209" s="42"/>
      <c r="G209" s="42"/>
      <c r="H209" s="42"/>
      <c r="I209" s="42"/>
      <c r="J209" s="43"/>
    </row>
    <row r="210" spans="1:10" ht="15.6" x14ac:dyDescent="0.3">
      <c r="A210" s="153"/>
      <c r="B210" s="303"/>
      <c r="C210" s="250"/>
      <c r="D210" s="88"/>
      <c r="E210" s="88"/>
      <c r="F210" s="88"/>
      <c r="G210" s="88"/>
      <c r="H210" s="88"/>
      <c r="I210" s="88"/>
      <c r="J210" s="87"/>
    </row>
    <row r="211" spans="1:10" ht="16.2" thickBot="1" x14ac:dyDescent="0.35">
      <c r="A211" s="85" t="s">
        <v>1299</v>
      </c>
      <c r="B211" s="309"/>
      <c r="C211" s="255"/>
      <c r="D211" s="80"/>
      <c r="E211" s="80"/>
      <c r="F211" s="80"/>
      <c r="G211" s="80"/>
      <c r="H211" s="80"/>
      <c r="I211" s="80"/>
      <c r="J211" s="86"/>
    </row>
    <row r="212" spans="1:10" ht="27.6" thickBot="1" x14ac:dyDescent="0.35">
      <c r="A212" s="64" t="s">
        <v>0</v>
      </c>
      <c r="B212" s="295" t="s">
        <v>1</v>
      </c>
      <c r="C212" s="237" t="s">
        <v>2</v>
      </c>
      <c r="D212" s="69" t="s">
        <v>854</v>
      </c>
      <c r="E212" s="580" t="s">
        <v>855</v>
      </c>
      <c r="F212" s="581"/>
      <c r="G212" s="581"/>
      <c r="H212" s="582"/>
      <c r="I212" s="70" t="s">
        <v>856</v>
      </c>
      <c r="J212" s="8" t="s">
        <v>3</v>
      </c>
    </row>
    <row r="213" spans="1:10" ht="16.2" thickBot="1" x14ac:dyDescent="0.35">
      <c r="A213" s="163">
        <v>1</v>
      </c>
      <c r="B213" s="313" t="s">
        <v>981</v>
      </c>
      <c r="C213" s="256">
        <v>3021</v>
      </c>
      <c r="D213" s="152">
        <v>5196</v>
      </c>
      <c r="E213" s="152">
        <v>1800</v>
      </c>
      <c r="F213" s="152"/>
      <c r="G213" s="152"/>
      <c r="H213" s="152">
        <f>SUM(E213:G213)</f>
        <v>1800</v>
      </c>
      <c r="I213" s="152">
        <f>D213-H213</f>
        <v>3396</v>
      </c>
      <c r="J213" s="152"/>
    </row>
    <row r="214" spans="1:10" ht="15.6" x14ac:dyDescent="0.3">
      <c r="A214" s="35"/>
      <c r="B214" s="312" t="s">
        <v>342</v>
      </c>
      <c r="C214" s="251">
        <v>1550</v>
      </c>
      <c r="D214" s="152">
        <v>5196</v>
      </c>
      <c r="E214" s="42"/>
      <c r="F214" s="42"/>
      <c r="G214" s="42"/>
      <c r="H214" s="152">
        <f>SUM(E214:G214)</f>
        <v>0</v>
      </c>
      <c r="I214" s="152">
        <f>D214-H214</f>
        <v>5196</v>
      </c>
      <c r="J214" s="43"/>
    </row>
    <row r="215" spans="1:10" ht="15.6" x14ac:dyDescent="0.3">
      <c r="A215" s="35"/>
      <c r="B215" s="300"/>
      <c r="C215" s="246"/>
      <c r="D215" s="495">
        <f>SUM(D213:D214)</f>
        <v>10392</v>
      </c>
      <c r="E215" s="495">
        <f t="shared" ref="E215:I215" si="41">SUM(E213:E214)</f>
        <v>1800</v>
      </c>
      <c r="F215" s="495">
        <f t="shared" si="41"/>
        <v>0</v>
      </c>
      <c r="G215" s="495">
        <f t="shared" si="41"/>
        <v>0</v>
      </c>
      <c r="H215" s="495">
        <f t="shared" si="41"/>
        <v>1800</v>
      </c>
      <c r="I215" s="495">
        <f t="shared" si="41"/>
        <v>8592</v>
      </c>
      <c r="J215" s="43"/>
    </row>
    <row r="216" spans="1:10" ht="15.6" x14ac:dyDescent="0.3">
      <c r="A216" s="35"/>
      <c r="B216" s="300"/>
      <c r="C216" s="246"/>
      <c r="D216" s="42"/>
      <c r="E216" s="42"/>
      <c r="F216" s="42"/>
      <c r="G216" s="42"/>
      <c r="H216" s="42"/>
      <c r="I216" s="42"/>
      <c r="J216" s="43"/>
    </row>
    <row r="217" spans="1:10" ht="16.2" thickBot="1" x14ac:dyDescent="0.35">
      <c r="A217" s="85" t="s">
        <v>1293</v>
      </c>
      <c r="B217" s="309"/>
      <c r="C217" s="254"/>
      <c r="D217" s="79"/>
      <c r="E217" s="79"/>
      <c r="F217" s="79"/>
      <c r="G217" s="79"/>
      <c r="H217" s="79"/>
      <c r="I217" s="79"/>
      <c r="J217" s="174"/>
    </row>
    <row r="218" spans="1:10" ht="27.6" thickBot="1" x14ac:dyDescent="0.35">
      <c r="A218" s="64" t="s">
        <v>0</v>
      </c>
      <c r="B218" s="295" t="s">
        <v>1</v>
      </c>
      <c r="C218" s="237" t="s">
        <v>2</v>
      </c>
      <c r="D218" s="69" t="s">
        <v>854</v>
      </c>
      <c r="E218" s="580" t="s">
        <v>855</v>
      </c>
      <c r="F218" s="581"/>
      <c r="G218" s="581"/>
      <c r="H218" s="582"/>
      <c r="I218" s="70" t="s">
        <v>856</v>
      </c>
      <c r="J218" s="8" t="s">
        <v>3</v>
      </c>
    </row>
    <row r="219" spans="1:10" ht="16.2" thickBot="1" x14ac:dyDescent="0.35">
      <c r="A219" s="17">
        <v>1</v>
      </c>
      <c r="B219" s="112" t="s">
        <v>1390</v>
      </c>
      <c r="C219" s="238"/>
      <c r="D219" s="6">
        <v>6672</v>
      </c>
      <c r="E219" s="6">
        <v>2000</v>
      </c>
      <c r="F219" s="6">
        <v>2000</v>
      </c>
      <c r="G219" s="6"/>
      <c r="H219" s="6">
        <f>SUM(E219:G219)</f>
        <v>4000</v>
      </c>
      <c r="I219" s="6">
        <f>D219-H219</f>
        <v>2672</v>
      </c>
      <c r="J219" s="6"/>
    </row>
    <row r="220" spans="1:10" ht="16.2" thickBot="1" x14ac:dyDescent="0.35">
      <c r="A220" s="17">
        <v>2</v>
      </c>
      <c r="B220" s="112" t="s">
        <v>1491</v>
      </c>
      <c r="C220" s="238"/>
      <c r="D220" s="6">
        <v>6672</v>
      </c>
      <c r="E220" s="6">
        <v>2040</v>
      </c>
      <c r="F220" s="6">
        <v>2000</v>
      </c>
      <c r="G220" s="6"/>
      <c r="H220" s="6">
        <f>SUM(E220:G220)</f>
        <v>4040</v>
      </c>
      <c r="I220" s="6">
        <f>D220-H220</f>
        <v>2632</v>
      </c>
      <c r="J220" s="6"/>
    </row>
    <row r="221" spans="1:10" ht="15.6" x14ac:dyDescent="0.3">
      <c r="A221" s="39"/>
      <c r="B221" s="307"/>
      <c r="C221" s="38"/>
      <c r="D221" s="495">
        <f>SUM(D219:D220)</f>
        <v>13344</v>
      </c>
      <c r="E221" s="495">
        <f t="shared" ref="E221:I221" si="42">SUM(E219:E220)</f>
        <v>4040</v>
      </c>
      <c r="F221" s="495">
        <f t="shared" si="42"/>
        <v>4000</v>
      </c>
      <c r="G221" s="495">
        <f t="shared" si="42"/>
        <v>0</v>
      </c>
      <c r="H221" s="495">
        <f t="shared" si="42"/>
        <v>8040</v>
      </c>
      <c r="I221" s="495">
        <f t="shared" si="42"/>
        <v>5304</v>
      </c>
      <c r="J221" s="42"/>
    </row>
    <row r="222" spans="1:10" ht="15.6" x14ac:dyDescent="0.3">
      <c r="A222" s="39"/>
      <c r="B222" s="307"/>
      <c r="C222" s="38"/>
      <c r="D222" s="42"/>
      <c r="E222" s="42"/>
      <c r="F222" s="42"/>
      <c r="G222" s="42"/>
      <c r="H222" s="42"/>
      <c r="I222" s="42"/>
      <c r="J222" s="42"/>
    </row>
    <row r="223" spans="1:10" ht="15.6" x14ac:dyDescent="0.3">
      <c r="A223" s="35"/>
      <c r="B223" s="300"/>
      <c r="C223" s="246"/>
      <c r="D223" s="42"/>
      <c r="E223" s="42"/>
      <c r="F223" s="42"/>
      <c r="G223" s="42"/>
      <c r="H223" s="42"/>
      <c r="I223" s="42"/>
      <c r="J223" s="43"/>
    </row>
    <row r="224" spans="1:10" ht="16.2" thickBot="1" x14ac:dyDescent="0.35">
      <c r="A224" s="85" t="s">
        <v>1294</v>
      </c>
      <c r="B224" s="309"/>
      <c r="C224" s="254"/>
      <c r="D224" s="79"/>
      <c r="E224" s="79"/>
      <c r="F224" s="79"/>
      <c r="G224" s="79"/>
      <c r="H224" s="79"/>
      <c r="I224" s="79"/>
      <c r="J224" s="174"/>
    </row>
    <row r="225" spans="1:11" ht="27.6" thickBot="1" x14ac:dyDescent="0.35">
      <c r="A225" s="24" t="s">
        <v>0</v>
      </c>
      <c r="B225" s="295" t="s">
        <v>1</v>
      </c>
      <c r="C225" s="237" t="s">
        <v>2</v>
      </c>
      <c r="D225" s="69" t="s">
        <v>854</v>
      </c>
      <c r="E225" s="580" t="s">
        <v>855</v>
      </c>
      <c r="F225" s="581"/>
      <c r="G225" s="581"/>
      <c r="H225" s="582"/>
      <c r="I225" s="70" t="s">
        <v>856</v>
      </c>
      <c r="J225" s="8" t="s">
        <v>3</v>
      </c>
    </row>
    <row r="226" spans="1:11" ht="16.2" thickBot="1" x14ac:dyDescent="0.35">
      <c r="A226" s="17">
        <v>1</v>
      </c>
      <c r="B226" s="112" t="s">
        <v>669</v>
      </c>
      <c r="C226" s="238"/>
      <c r="D226" s="6">
        <v>3538</v>
      </c>
      <c r="E226" s="6">
        <v>500</v>
      </c>
      <c r="F226" s="6">
        <v>3038</v>
      </c>
      <c r="G226" s="6"/>
      <c r="H226" s="6">
        <f>SUM(E226:G226)</f>
        <v>3538</v>
      </c>
      <c r="I226" s="6">
        <f>D226-H226</f>
        <v>0</v>
      </c>
      <c r="J226" s="6" t="s">
        <v>1395</v>
      </c>
    </row>
    <row r="227" spans="1:11" ht="16.2" thickBot="1" x14ac:dyDescent="0.35">
      <c r="A227" s="17">
        <v>2</v>
      </c>
      <c r="B227" s="112" t="s">
        <v>673</v>
      </c>
      <c r="C227" s="238"/>
      <c r="D227" s="6">
        <v>3538</v>
      </c>
      <c r="E227" s="6"/>
      <c r="F227" s="6"/>
      <c r="G227" s="6"/>
      <c r="H227" s="6">
        <f t="shared" ref="H227:H237" si="43">SUM(E227:G227)</f>
        <v>0</v>
      </c>
      <c r="I227" s="6">
        <f t="shared" ref="I227:I237" si="44">D227-H227</f>
        <v>3538</v>
      </c>
      <c r="J227" s="6"/>
    </row>
    <row r="228" spans="1:11" ht="16.2" thickBot="1" x14ac:dyDescent="0.35">
      <c r="A228" s="17">
        <v>3</v>
      </c>
      <c r="B228" s="133" t="s">
        <v>1389</v>
      </c>
      <c r="C228" s="238">
        <v>3205</v>
      </c>
      <c r="D228" s="6">
        <v>3538</v>
      </c>
      <c r="E228" s="6">
        <v>3538</v>
      </c>
      <c r="F228" s="6"/>
      <c r="G228" s="6"/>
      <c r="H228" s="6">
        <f t="shared" si="43"/>
        <v>3538</v>
      </c>
      <c r="I228" s="6">
        <f t="shared" si="44"/>
        <v>0</v>
      </c>
      <c r="J228" s="6" t="s">
        <v>1395</v>
      </c>
    </row>
    <row r="229" spans="1:11" ht="16.2" thickBot="1" x14ac:dyDescent="0.35">
      <c r="A229" s="17">
        <v>4</v>
      </c>
      <c r="B229" s="133" t="s">
        <v>1591</v>
      </c>
      <c r="C229" s="238"/>
      <c r="D229" s="6">
        <v>3538</v>
      </c>
      <c r="E229" s="6">
        <v>2000</v>
      </c>
      <c r="F229" s="6"/>
      <c r="G229" s="6"/>
      <c r="H229" s="6">
        <f t="shared" si="43"/>
        <v>2000</v>
      </c>
      <c r="I229" s="6">
        <f t="shared" si="44"/>
        <v>1538</v>
      </c>
      <c r="J229" s="6" t="s">
        <v>1395</v>
      </c>
    </row>
    <row r="230" spans="1:11" ht="16.2" thickBot="1" x14ac:dyDescent="0.35">
      <c r="A230" s="17">
        <v>5</v>
      </c>
      <c r="B230" s="131" t="s">
        <v>672</v>
      </c>
      <c r="C230" s="238">
        <v>3026</v>
      </c>
      <c r="D230" s="6">
        <v>3538</v>
      </c>
      <c r="E230" s="6">
        <v>1000</v>
      </c>
      <c r="F230" s="6"/>
      <c r="G230" s="6"/>
      <c r="H230" s="6">
        <f t="shared" si="43"/>
        <v>1000</v>
      </c>
      <c r="I230" s="6">
        <f t="shared" si="44"/>
        <v>2538</v>
      </c>
      <c r="J230" s="6" t="s">
        <v>1395</v>
      </c>
    </row>
    <row r="231" spans="1:11" ht="16.2" thickBot="1" x14ac:dyDescent="0.35">
      <c r="A231" s="549">
        <v>6</v>
      </c>
      <c r="B231" s="558" t="s">
        <v>671</v>
      </c>
      <c r="C231" s="559">
        <v>3028</v>
      </c>
      <c r="D231" s="553">
        <v>3538</v>
      </c>
      <c r="E231" s="553"/>
      <c r="F231" s="553"/>
      <c r="G231" s="553"/>
      <c r="H231" s="553">
        <f t="shared" si="43"/>
        <v>0</v>
      </c>
      <c r="I231" s="553">
        <f t="shared" si="44"/>
        <v>3538</v>
      </c>
      <c r="J231" s="553" t="s">
        <v>1736</v>
      </c>
      <c r="K231" t="s">
        <v>1726</v>
      </c>
    </row>
    <row r="232" spans="1:11" ht="16.2" thickBot="1" x14ac:dyDescent="0.35">
      <c r="A232" s="17">
        <v>7</v>
      </c>
      <c r="B232" s="131" t="s">
        <v>666</v>
      </c>
      <c r="C232" s="10"/>
      <c r="D232" s="6">
        <v>3203</v>
      </c>
      <c r="E232" s="6">
        <v>3500</v>
      </c>
      <c r="F232" s="6"/>
      <c r="G232" s="6"/>
      <c r="H232" s="6">
        <f t="shared" si="43"/>
        <v>3500</v>
      </c>
      <c r="I232" s="6">
        <f t="shared" si="44"/>
        <v>-297</v>
      </c>
      <c r="J232" s="6" t="s">
        <v>1378</v>
      </c>
    </row>
    <row r="233" spans="1:11" ht="16.2" thickBot="1" x14ac:dyDescent="0.35">
      <c r="A233" s="17">
        <v>8</v>
      </c>
      <c r="B233" s="112" t="s">
        <v>674</v>
      </c>
      <c r="C233" s="238">
        <v>3029</v>
      </c>
      <c r="D233" s="6">
        <v>3538</v>
      </c>
      <c r="E233" s="6">
        <v>2500</v>
      </c>
      <c r="F233" s="6">
        <v>500</v>
      </c>
      <c r="G233" s="6"/>
      <c r="H233" s="6">
        <f t="shared" si="43"/>
        <v>3000</v>
      </c>
      <c r="I233" s="6">
        <f t="shared" si="44"/>
        <v>538</v>
      </c>
      <c r="J233" s="6" t="s">
        <v>1395</v>
      </c>
    </row>
    <row r="234" spans="1:11" ht="16.2" thickBot="1" x14ac:dyDescent="0.35">
      <c r="A234" s="17">
        <v>9</v>
      </c>
      <c r="B234" s="297" t="s">
        <v>675</v>
      </c>
      <c r="C234" s="10">
        <v>3030</v>
      </c>
      <c r="D234" s="6">
        <v>3538</v>
      </c>
      <c r="E234" s="6">
        <v>2150</v>
      </c>
      <c r="F234" s="6"/>
      <c r="G234" s="6"/>
      <c r="H234" s="6">
        <f t="shared" si="43"/>
        <v>2150</v>
      </c>
      <c r="I234" s="6">
        <f t="shared" si="44"/>
        <v>1388</v>
      </c>
      <c r="J234" s="6" t="s">
        <v>1395</v>
      </c>
      <c r="K234" t="s">
        <v>1725</v>
      </c>
    </row>
    <row r="235" spans="1:11" ht="16.2" thickBot="1" x14ac:dyDescent="0.35">
      <c r="A235" s="17">
        <v>10</v>
      </c>
      <c r="B235" s="112" t="s">
        <v>670</v>
      </c>
      <c r="C235" s="238">
        <v>3031</v>
      </c>
      <c r="D235" s="6">
        <v>3538</v>
      </c>
      <c r="E235" s="6">
        <v>2500</v>
      </c>
      <c r="F235" s="6"/>
      <c r="G235" s="6"/>
      <c r="H235" s="6">
        <f t="shared" si="43"/>
        <v>2500</v>
      </c>
      <c r="I235" s="6">
        <f t="shared" si="44"/>
        <v>1038</v>
      </c>
      <c r="J235" s="6" t="s">
        <v>1395</v>
      </c>
    </row>
    <row r="236" spans="1:11" ht="16.2" thickBot="1" x14ac:dyDescent="0.35">
      <c r="A236" s="17">
        <v>11</v>
      </c>
      <c r="B236" s="135" t="s">
        <v>900</v>
      </c>
      <c r="C236" s="251"/>
      <c r="D236" s="83">
        <v>3538</v>
      </c>
      <c r="E236" s="94"/>
      <c r="F236" s="94"/>
      <c r="G236" s="94"/>
      <c r="H236" s="6">
        <f t="shared" si="43"/>
        <v>0</v>
      </c>
      <c r="I236" s="6">
        <f t="shared" si="44"/>
        <v>3538</v>
      </c>
      <c r="J236" s="173"/>
    </row>
    <row r="237" spans="1:11" ht="16.2" thickBot="1" x14ac:dyDescent="0.35">
      <c r="A237" s="17">
        <v>12</v>
      </c>
      <c r="B237" s="275" t="s">
        <v>1582</v>
      </c>
      <c r="C237" s="408"/>
      <c r="D237" s="74">
        <v>3538</v>
      </c>
      <c r="E237" s="457">
        <v>2700</v>
      </c>
      <c r="F237" s="457">
        <v>800</v>
      </c>
      <c r="G237" s="457"/>
      <c r="H237" s="6">
        <f t="shared" si="43"/>
        <v>3500</v>
      </c>
      <c r="I237" s="6">
        <f t="shared" si="44"/>
        <v>38</v>
      </c>
      <c r="J237" s="449" t="s">
        <v>1583</v>
      </c>
    </row>
    <row r="238" spans="1:11" ht="15.6" x14ac:dyDescent="0.3">
      <c r="A238" s="39"/>
      <c r="B238" s="300"/>
      <c r="C238" s="246"/>
      <c r="D238" s="495">
        <f>SUM(D226:D237)</f>
        <v>42121</v>
      </c>
      <c r="E238" s="495">
        <f t="shared" ref="E238:I238" si="45">SUM(E226:E237)</f>
        <v>20388</v>
      </c>
      <c r="F238" s="495">
        <f t="shared" si="45"/>
        <v>4338</v>
      </c>
      <c r="G238" s="495">
        <f t="shared" si="45"/>
        <v>0</v>
      </c>
      <c r="H238" s="495">
        <f t="shared" si="45"/>
        <v>24726</v>
      </c>
      <c r="I238" s="495">
        <f t="shared" si="45"/>
        <v>17395</v>
      </c>
      <c r="J238" s="175"/>
    </row>
    <row r="239" spans="1:11" ht="15.6" x14ac:dyDescent="0.3">
      <c r="A239" s="157"/>
      <c r="B239" s="305"/>
      <c r="C239" s="253"/>
      <c r="D239" s="154"/>
      <c r="E239" s="154"/>
      <c r="F239" s="154"/>
      <c r="G239" s="154"/>
      <c r="H239" s="154"/>
      <c r="I239" s="154"/>
      <c r="J239" s="176"/>
    </row>
    <row r="242" spans="1:10" ht="16.2" thickBot="1" x14ac:dyDescent="0.35">
      <c r="A242" s="85" t="s">
        <v>1295</v>
      </c>
      <c r="B242" s="309"/>
      <c r="C242" s="254"/>
      <c r="D242" s="79"/>
      <c r="E242" s="79"/>
      <c r="F242" s="79"/>
      <c r="G242" s="79"/>
      <c r="H242" s="79"/>
      <c r="I242" s="79"/>
      <c r="J242" s="174"/>
    </row>
    <row r="243" spans="1:10" ht="27.6" thickBot="1" x14ac:dyDescent="0.35">
      <c r="A243" s="24" t="s">
        <v>0</v>
      </c>
      <c r="B243" s="295" t="s">
        <v>1</v>
      </c>
      <c r="C243" s="237" t="s">
        <v>2</v>
      </c>
      <c r="D243" s="69" t="s">
        <v>854</v>
      </c>
      <c r="E243" s="580" t="s">
        <v>855</v>
      </c>
      <c r="F243" s="581"/>
      <c r="G243" s="581"/>
      <c r="H243" s="582"/>
      <c r="I243" s="70" t="s">
        <v>856</v>
      </c>
      <c r="J243" s="8" t="s">
        <v>3</v>
      </c>
    </row>
    <row r="244" spans="1:10" ht="16.2" thickBot="1" x14ac:dyDescent="0.35">
      <c r="A244" s="9">
        <v>1</v>
      </c>
      <c r="B244" s="112" t="s">
        <v>219</v>
      </c>
      <c r="C244" s="238">
        <v>2477</v>
      </c>
      <c r="D244" s="6">
        <v>3203</v>
      </c>
      <c r="E244" s="6">
        <v>2203</v>
      </c>
      <c r="F244" s="6"/>
      <c r="G244" s="6"/>
      <c r="H244" s="6">
        <f>SUM(E244:G244)</f>
        <v>2203</v>
      </c>
      <c r="I244" s="6">
        <f>D244-H244</f>
        <v>1000</v>
      </c>
      <c r="J244" s="6" t="s">
        <v>1395</v>
      </c>
    </row>
    <row r="245" spans="1:10" ht="16.2" thickBot="1" x14ac:dyDescent="0.35">
      <c r="A245" s="9">
        <v>2</v>
      </c>
      <c r="B245" s="112" t="s">
        <v>106</v>
      </c>
      <c r="C245" s="238">
        <v>2478</v>
      </c>
      <c r="D245" s="6">
        <v>3203</v>
      </c>
      <c r="E245" s="6"/>
      <c r="F245" s="6"/>
      <c r="G245" s="6"/>
      <c r="H245" s="6">
        <f t="shared" ref="H245:H255" si="46">SUM(E245:G245)</f>
        <v>0</v>
      </c>
      <c r="I245" s="6">
        <f t="shared" ref="I245:I255" si="47">D245-H245</f>
        <v>3203</v>
      </c>
      <c r="J245" s="6"/>
    </row>
    <row r="246" spans="1:10" ht="16.2" thickBot="1" x14ac:dyDescent="0.35">
      <c r="A246" s="9">
        <v>3</v>
      </c>
      <c r="B246" s="112" t="s">
        <v>912</v>
      </c>
      <c r="C246" s="238">
        <v>2480</v>
      </c>
      <c r="D246" s="6">
        <v>3203</v>
      </c>
      <c r="E246" s="4">
        <v>1500</v>
      </c>
      <c r="F246" s="4"/>
      <c r="G246" s="4"/>
      <c r="H246" s="6">
        <f t="shared" si="46"/>
        <v>1500</v>
      </c>
      <c r="I246" s="6">
        <f t="shared" si="47"/>
        <v>1703</v>
      </c>
      <c r="J246" s="20"/>
    </row>
    <row r="247" spans="1:10" ht="16.2" thickBot="1" x14ac:dyDescent="0.35">
      <c r="A247" s="9">
        <v>4</v>
      </c>
      <c r="B247" s="310" t="s">
        <v>218</v>
      </c>
      <c r="C247" s="238">
        <v>2652</v>
      </c>
      <c r="D247" s="6">
        <v>3203</v>
      </c>
      <c r="E247" s="6">
        <v>2000</v>
      </c>
      <c r="F247" s="6"/>
      <c r="G247" s="6"/>
      <c r="H247" s="6">
        <f t="shared" si="46"/>
        <v>2000</v>
      </c>
      <c r="I247" s="6">
        <f t="shared" si="47"/>
        <v>1203</v>
      </c>
      <c r="J247" s="6" t="s">
        <v>1395</v>
      </c>
    </row>
    <row r="248" spans="1:10" ht="16.2" thickBot="1" x14ac:dyDescent="0.35">
      <c r="A248" s="9">
        <v>5</v>
      </c>
      <c r="B248" s="112" t="s">
        <v>908</v>
      </c>
      <c r="C248" s="238">
        <v>2483</v>
      </c>
      <c r="D248" s="6">
        <v>3203</v>
      </c>
      <c r="E248" s="4">
        <v>2000</v>
      </c>
      <c r="F248" s="4"/>
      <c r="G248" s="4"/>
      <c r="H248" s="6">
        <f t="shared" si="46"/>
        <v>2000</v>
      </c>
      <c r="I248" s="6">
        <f t="shared" si="47"/>
        <v>1203</v>
      </c>
      <c r="J248" s="6" t="s">
        <v>1395</v>
      </c>
    </row>
    <row r="249" spans="1:10" ht="16.2" thickBot="1" x14ac:dyDescent="0.35">
      <c r="A249" s="9">
        <v>6</v>
      </c>
      <c r="B249" s="133" t="s">
        <v>972</v>
      </c>
      <c r="C249" s="238">
        <v>2484</v>
      </c>
      <c r="D249" s="6">
        <v>3203</v>
      </c>
      <c r="E249" s="4">
        <v>1250</v>
      </c>
      <c r="F249" s="4"/>
      <c r="G249" s="4"/>
      <c r="H249" s="6">
        <f t="shared" si="46"/>
        <v>1250</v>
      </c>
      <c r="I249" s="6">
        <f t="shared" si="47"/>
        <v>1953</v>
      </c>
      <c r="J249" s="6" t="s">
        <v>1395</v>
      </c>
    </row>
    <row r="250" spans="1:10" ht="16.2" thickBot="1" x14ac:dyDescent="0.35">
      <c r="A250" s="9">
        <v>7</v>
      </c>
      <c r="B250" s="133" t="s">
        <v>1632</v>
      </c>
      <c r="C250" s="238">
        <v>2479</v>
      </c>
      <c r="D250" s="6">
        <v>3203</v>
      </c>
      <c r="E250" s="4">
        <v>952</v>
      </c>
      <c r="F250" s="4"/>
      <c r="G250" s="4"/>
      <c r="H250" s="6">
        <f t="shared" si="46"/>
        <v>952</v>
      </c>
      <c r="I250" s="6">
        <f t="shared" si="47"/>
        <v>2251</v>
      </c>
      <c r="J250" s="6" t="s">
        <v>1395</v>
      </c>
    </row>
    <row r="251" spans="1:10" ht="16.2" thickBot="1" x14ac:dyDescent="0.35">
      <c r="A251" s="9">
        <v>8</v>
      </c>
      <c r="B251" s="112" t="s">
        <v>107</v>
      </c>
      <c r="C251" s="238">
        <v>2485</v>
      </c>
      <c r="D251" s="6">
        <v>3203</v>
      </c>
      <c r="E251" s="6"/>
      <c r="F251" s="6"/>
      <c r="G251" s="6"/>
      <c r="H251" s="6">
        <f t="shared" si="46"/>
        <v>0</v>
      </c>
      <c r="I251" s="6">
        <f t="shared" si="47"/>
        <v>3203</v>
      </c>
      <c r="J251" s="6"/>
    </row>
    <row r="252" spans="1:10" ht="16.2" thickBot="1" x14ac:dyDescent="0.35">
      <c r="A252" s="9"/>
      <c r="B252" s="135" t="s">
        <v>1676</v>
      </c>
      <c r="C252" s="251">
        <v>2653</v>
      </c>
      <c r="D252" s="6">
        <v>3203</v>
      </c>
      <c r="E252" s="83"/>
      <c r="F252" s="83"/>
      <c r="G252" s="83"/>
      <c r="H252" s="6">
        <f t="shared" si="46"/>
        <v>0</v>
      </c>
      <c r="I252" s="6">
        <f t="shared" si="47"/>
        <v>3203</v>
      </c>
      <c r="J252" s="83"/>
    </row>
    <row r="253" spans="1:10" ht="16.2" thickBot="1" x14ac:dyDescent="0.35">
      <c r="A253" s="9">
        <v>9</v>
      </c>
      <c r="B253" s="135" t="s">
        <v>911</v>
      </c>
      <c r="C253" s="251">
        <v>2486</v>
      </c>
      <c r="D253" s="6">
        <v>3203</v>
      </c>
      <c r="E253" s="94">
        <v>2000</v>
      </c>
      <c r="F253" s="94"/>
      <c r="G253" s="94"/>
      <c r="H253" s="6">
        <f t="shared" si="46"/>
        <v>2000</v>
      </c>
      <c r="I253" s="6">
        <f t="shared" si="47"/>
        <v>1203</v>
      </c>
      <c r="J253" s="173" t="s">
        <v>1395</v>
      </c>
    </row>
    <row r="254" spans="1:10" ht="16.2" thickBot="1" x14ac:dyDescent="0.35">
      <c r="A254" s="9">
        <v>10</v>
      </c>
      <c r="B254" s="112" t="s">
        <v>676</v>
      </c>
      <c r="C254" s="238">
        <v>2474</v>
      </c>
      <c r="D254" s="6">
        <v>3203</v>
      </c>
      <c r="E254" s="6">
        <v>1400</v>
      </c>
      <c r="F254" s="6"/>
      <c r="G254" s="6"/>
      <c r="H254" s="6">
        <f t="shared" si="46"/>
        <v>1400</v>
      </c>
      <c r="I254" s="6">
        <f t="shared" si="47"/>
        <v>1803</v>
      </c>
      <c r="J254" s="6"/>
    </row>
    <row r="255" spans="1:10" ht="16.2" thickBot="1" x14ac:dyDescent="0.35">
      <c r="A255" s="9">
        <v>11</v>
      </c>
      <c r="B255" s="112" t="s">
        <v>677</v>
      </c>
      <c r="C255" s="238">
        <v>2475</v>
      </c>
      <c r="D255" s="6">
        <v>3203</v>
      </c>
      <c r="E255" s="6"/>
      <c r="F255" s="6"/>
      <c r="G255" s="6"/>
      <c r="H255" s="6">
        <f t="shared" si="46"/>
        <v>0</v>
      </c>
      <c r="I255" s="6">
        <f t="shared" si="47"/>
        <v>3203</v>
      </c>
      <c r="J255" s="6"/>
    </row>
    <row r="256" spans="1:10" ht="15.6" x14ac:dyDescent="0.3">
      <c r="A256" s="35"/>
      <c r="B256" s="300"/>
      <c r="C256" s="246"/>
      <c r="D256" s="495">
        <f>SUM(D244:D255)</f>
        <v>38436</v>
      </c>
      <c r="E256" s="495">
        <f t="shared" ref="E256:I256" si="48">SUM(E244:E255)</f>
        <v>13305</v>
      </c>
      <c r="F256" s="495">
        <f t="shared" si="48"/>
        <v>0</v>
      </c>
      <c r="G256" s="495">
        <f t="shared" si="48"/>
        <v>0</v>
      </c>
      <c r="H256" s="495">
        <f t="shared" si="48"/>
        <v>13305</v>
      </c>
      <c r="I256" s="495">
        <f t="shared" si="48"/>
        <v>25131</v>
      </c>
      <c r="J256" s="42"/>
    </row>
    <row r="257" spans="1:10" ht="15.6" x14ac:dyDescent="0.3">
      <c r="A257" s="35"/>
      <c r="B257" s="300"/>
      <c r="C257" s="246"/>
      <c r="D257" s="42"/>
      <c r="E257" s="42"/>
      <c r="F257" s="42"/>
      <c r="G257" s="42"/>
      <c r="H257" s="42"/>
      <c r="I257" s="42"/>
      <c r="J257" s="42"/>
    </row>
    <row r="258" spans="1:10" ht="15.6" x14ac:dyDescent="0.3">
      <c r="A258" s="35"/>
      <c r="B258" s="300"/>
      <c r="C258" s="246"/>
      <c r="D258" s="42"/>
      <c r="E258" s="42"/>
      <c r="F258" s="42"/>
      <c r="G258" s="42"/>
      <c r="H258" s="42"/>
      <c r="I258" s="42"/>
      <c r="J258" s="42"/>
    </row>
    <row r="259" spans="1:10" ht="15.6" x14ac:dyDescent="0.3">
      <c r="A259" s="35"/>
      <c r="B259" s="144"/>
      <c r="C259" s="246"/>
      <c r="D259" s="34"/>
      <c r="E259" s="34"/>
      <c r="F259" s="34"/>
      <c r="G259" s="34"/>
      <c r="H259" s="34"/>
      <c r="I259" s="34"/>
      <c r="J259" s="175"/>
    </row>
    <row r="260" spans="1:10" ht="16.2" thickBot="1" x14ac:dyDescent="0.35">
      <c r="A260" s="85" t="s">
        <v>1325</v>
      </c>
      <c r="B260" s="309"/>
      <c r="C260" s="254"/>
      <c r="D260" s="79"/>
      <c r="E260" s="79"/>
      <c r="F260" s="79"/>
      <c r="G260" s="79"/>
      <c r="H260" s="79"/>
      <c r="I260" s="79"/>
      <c r="J260" s="174"/>
    </row>
    <row r="261" spans="1:10" ht="27.6" thickBot="1" x14ac:dyDescent="0.35">
      <c r="A261" s="64" t="s">
        <v>0</v>
      </c>
      <c r="B261" s="295" t="s">
        <v>1</v>
      </c>
      <c r="C261" s="237" t="s">
        <v>2</v>
      </c>
      <c r="D261" s="69" t="s">
        <v>854</v>
      </c>
      <c r="E261" s="580" t="s">
        <v>855</v>
      </c>
      <c r="F261" s="581"/>
      <c r="G261" s="581"/>
      <c r="H261" s="582"/>
      <c r="I261" s="70" t="s">
        <v>856</v>
      </c>
      <c r="J261" s="8" t="s">
        <v>3</v>
      </c>
    </row>
    <row r="262" spans="1:10" ht="16.2" thickBot="1" x14ac:dyDescent="0.35">
      <c r="A262" s="9">
        <v>1</v>
      </c>
      <c r="B262" s="131" t="s">
        <v>27</v>
      </c>
      <c r="C262" s="10">
        <v>1838</v>
      </c>
      <c r="D262" s="6">
        <v>2744</v>
      </c>
      <c r="E262" s="6">
        <v>1744</v>
      </c>
      <c r="F262" s="6">
        <v>1000</v>
      </c>
      <c r="G262" s="6"/>
      <c r="H262" s="6">
        <f>SUM(E262:G262)</f>
        <v>2744</v>
      </c>
      <c r="I262" s="6">
        <f>D262-H262</f>
        <v>0</v>
      </c>
      <c r="J262" s="6"/>
    </row>
    <row r="263" spans="1:10" ht="16.2" thickBot="1" x14ac:dyDescent="0.35">
      <c r="A263" s="9">
        <v>2</v>
      </c>
      <c r="B263" s="112" t="s">
        <v>1669</v>
      </c>
      <c r="C263" s="238"/>
      <c r="D263" s="6">
        <v>2744</v>
      </c>
      <c r="E263" s="6"/>
      <c r="F263" s="6"/>
      <c r="G263" s="6"/>
      <c r="H263" s="6"/>
      <c r="I263" s="6">
        <f>D263-H263</f>
        <v>2744</v>
      </c>
      <c r="J263" s="6"/>
    </row>
    <row r="264" spans="1:10" ht="15.6" x14ac:dyDescent="0.3">
      <c r="A264" s="35"/>
      <c r="B264" s="144"/>
      <c r="C264" s="246"/>
      <c r="D264" s="507">
        <f>SUM(D262:D263)</f>
        <v>5488</v>
      </c>
      <c r="E264" s="507">
        <f t="shared" ref="E264:I264" si="49">SUM(E262:E263)</f>
        <v>1744</v>
      </c>
      <c r="F264" s="507">
        <f t="shared" si="49"/>
        <v>1000</v>
      </c>
      <c r="G264" s="507">
        <f t="shared" si="49"/>
        <v>0</v>
      </c>
      <c r="H264" s="507">
        <f t="shared" si="49"/>
        <v>2744</v>
      </c>
      <c r="I264" s="507">
        <f t="shared" si="49"/>
        <v>2744</v>
      </c>
      <c r="J264" s="175"/>
    </row>
    <row r="265" spans="1:10" ht="15.6" x14ac:dyDescent="0.3">
      <c r="A265" s="35"/>
      <c r="B265" s="144"/>
      <c r="C265" s="246"/>
      <c r="D265" s="34"/>
      <c r="E265" s="34"/>
      <c r="F265" s="34"/>
      <c r="G265" s="34"/>
      <c r="H265" s="34"/>
      <c r="I265" s="34"/>
      <c r="J265" s="175"/>
    </row>
    <row r="266" spans="1:10" ht="15.6" x14ac:dyDescent="0.3">
      <c r="A266" s="35"/>
      <c r="B266" s="144"/>
      <c r="C266" s="246"/>
      <c r="D266" s="34"/>
      <c r="E266" s="34"/>
      <c r="F266" s="34"/>
      <c r="G266" s="34"/>
      <c r="H266" s="34"/>
      <c r="I266" s="34"/>
      <c r="J266" s="175"/>
    </row>
    <row r="267" spans="1:10" ht="16.2" thickBot="1" x14ac:dyDescent="0.35">
      <c r="A267" s="85" t="s">
        <v>1296</v>
      </c>
      <c r="B267" s="309"/>
      <c r="C267" s="254"/>
      <c r="D267" s="79"/>
      <c r="E267" s="79"/>
      <c r="F267" s="79"/>
      <c r="G267" s="79"/>
      <c r="H267" s="79"/>
      <c r="I267" s="79"/>
      <c r="J267" s="174"/>
    </row>
    <row r="268" spans="1:10" ht="27.6" thickBot="1" x14ac:dyDescent="0.35">
      <c r="A268" s="33" t="s">
        <v>0</v>
      </c>
      <c r="B268" s="295" t="s">
        <v>1</v>
      </c>
      <c r="C268" s="237" t="s">
        <v>2</v>
      </c>
      <c r="D268" s="69" t="s">
        <v>854</v>
      </c>
      <c r="E268" s="580" t="s">
        <v>855</v>
      </c>
      <c r="F268" s="581"/>
      <c r="G268" s="581"/>
      <c r="H268" s="582"/>
      <c r="I268" s="70" t="s">
        <v>856</v>
      </c>
      <c r="J268" s="8" t="s">
        <v>3</v>
      </c>
    </row>
    <row r="269" spans="1:10" ht="16.2" thickBot="1" x14ac:dyDescent="0.35">
      <c r="A269" s="9">
        <v>1</v>
      </c>
      <c r="B269" s="310" t="s">
        <v>1409</v>
      </c>
      <c r="C269" s="238"/>
      <c r="D269" s="6">
        <v>5578</v>
      </c>
      <c r="E269" s="6">
        <v>2040</v>
      </c>
      <c r="F269" s="6">
        <v>3000</v>
      </c>
      <c r="G269" s="6"/>
      <c r="H269" s="6">
        <f>SUM(E269:G269)</f>
        <v>5040</v>
      </c>
      <c r="I269" s="6">
        <f>D269-H269</f>
        <v>538</v>
      </c>
      <c r="J269" s="6"/>
    </row>
    <row r="270" spans="1:10" ht="15.6" x14ac:dyDescent="0.3">
      <c r="A270" s="138"/>
      <c r="B270" s="146"/>
      <c r="C270" s="248"/>
      <c r="D270" s="139"/>
      <c r="E270" s="139"/>
      <c r="F270" s="139"/>
      <c r="G270" s="139"/>
      <c r="H270" s="139"/>
      <c r="I270" s="139"/>
      <c r="J270" s="177"/>
    </row>
    <row r="271" spans="1:10" ht="15.6" x14ac:dyDescent="0.3">
      <c r="A271" s="35"/>
      <c r="B271" s="300"/>
      <c r="C271" s="246"/>
      <c r="D271" s="34"/>
      <c r="E271" s="34"/>
      <c r="F271" s="34"/>
      <c r="G271" s="34"/>
      <c r="H271" s="34"/>
      <c r="I271" s="34"/>
      <c r="J271" s="175"/>
    </row>
    <row r="272" spans="1:10" ht="15.6" x14ac:dyDescent="0.3">
      <c r="A272" s="153"/>
      <c r="B272" s="303"/>
      <c r="C272" s="250"/>
      <c r="D272" s="154"/>
      <c r="E272" s="154"/>
      <c r="F272" s="154"/>
      <c r="G272" s="154"/>
      <c r="H272" s="154"/>
      <c r="I272" s="154"/>
      <c r="J272" s="176"/>
    </row>
    <row r="273" spans="1:10" ht="16.2" thickBot="1" x14ac:dyDescent="0.35">
      <c r="A273" s="85" t="s">
        <v>1297</v>
      </c>
      <c r="B273" s="309"/>
      <c r="C273" s="254"/>
      <c r="D273" s="79"/>
      <c r="E273" s="79"/>
      <c r="F273" s="79"/>
      <c r="G273" s="79"/>
      <c r="H273" s="79"/>
      <c r="I273" s="79"/>
      <c r="J273" s="174"/>
    </row>
    <row r="274" spans="1:10" ht="27.6" thickBot="1" x14ac:dyDescent="0.35">
      <c r="A274" s="24" t="s">
        <v>0</v>
      </c>
      <c r="B274" s="295" t="s">
        <v>1</v>
      </c>
      <c r="C274" s="237" t="s">
        <v>2</v>
      </c>
      <c r="D274" s="69" t="s">
        <v>854</v>
      </c>
      <c r="E274" s="580" t="s">
        <v>855</v>
      </c>
      <c r="F274" s="581"/>
      <c r="G274" s="581"/>
      <c r="H274" s="582"/>
      <c r="I274" s="70" t="s">
        <v>856</v>
      </c>
      <c r="J274" s="8" t="s">
        <v>3</v>
      </c>
    </row>
    <row r="275" spans="1:10" ht="16.2" thickBot="1" x14ac:dyDescent="0.35">
      <c r="A275" s="17">
        <v>1</v>
      </c>
      <c r="B275" s="286" t="s">
        <v>668</v>
      </c>
      <c r="C275" s="252">
        <v>3037</v>
      </c>
      <c r="D275" s="6">
        <v>3203</v>
      </c>
      <c r="E275" s="6">
        <v>2010</v>
      </c>
      <c r="F275" s="6"/>
      <c r="G275" s="6"/>
      <c r="H275" s="6">
        <f>SUM(E275:G275)</f>
        <v>2010</v>
      </c>
      <c r="I275" s="6">
        <f>D275-H275</f>
        <v>1193</v>
      </c>
      <c r="J275" s="6" t="s">
        <v>1378</v>
      </c>
    </row>
    <row r="276" spans="1:10" ht="16.2" thickBot="1" x14ac:dyDescent="0.35">
      <c r="A276" s="17">
        <v>2</v>
      </c>
      <c r="B276" s="134" t="s">
        <v>665</v>
      </c>
      <c r="C276" s="52">
        <v>3033</v>
      </c>
      <c r="D276" s="6">
        <v>3203</v>
      </c>
      <c r="E276" s="6">
        <v>2000</v>
      </c>
      <c r="F276" s="6"/>
      <c r="G276" s="6"/>
      <c r="H276" s="6">
        <f t="shared" ref="H276:H277" si="50">SUM(E276:G276)</f>
        <v>2000</v>
      </c>
      <c r="I276" s="6">
        <f t="shared" ref="I276:I277" si="51">D276-H276</f>
        <v>1203</v>
      </c>
      <c r="J276" s="6" t="s">
        <v>1378</v>
      </c>
    </row>
    <row r="277" spans="1:10" ht="16.2" thickBot="1" x14ac:dyDescent="0.35">
      <c r="A277" s="17">
        <v>3</v>
      </c>
      <c r="B277" s="282" t="s">
        <v>667</v>
      </c>
      <c r="C277" s="159"/>
      <c r="D277" s="6">
        <v>3203</v>
      </c>
      <c r="E277" s="83">
        <v>1500</v>
      </c>
      <c r="F277" s="83"/>
      <c r="G277" s="83"/>
      <c r="H277" s="6">
        <f t="shared" si="50"/>
        <v>1500</v>
      </c>
      <c r="I277" s="6">
        <f t="shared" si="51"/>
        <v>1703</v>
      </c>
      <c r="J277" s="83" t="s">
        <v>1378</v>
      </c>
    </row>
    <row r="278" spans="1:10" ht="15.6" x14ac:dyDescent="0.3">
      <c r="A278" s="140"/>
      <c r="B278" s="285"/>
      <c r="C278" s="169"/>
      <c r="D278" s="508">
        <f t="shared" ref="D278:I278" si="52">SUM(D275:D277)</f>
        <v>9609</v>
      </c>
      <c r="E278" s="508">
        <f t="shared" si="52"/>
        <v>5510</v>
      </c>
      <c r="F278" s="508">
        <f t="shared" si="52"/>
        <v>0</v>
      </c>
      <c r="G278" s="508">
        <f t="shared" si="52"/>
        <v>0</v>
      </c>
      <c r="H278" s="508">
        <f t="shared" si="52"/>
        <v>5510</v>
      </c>
      <c r="I278" s="508">
        <f t="shared" si="52"/>
        <v>4099</v>
      </c>
      <c r="J278" s="90"/>
    </row>
    <row r="279" spans="1:10" ht="15.6" x14ac:dyDescent="0.3">
      <c r="A279" s="41"/>
      <c r="B279" s="286"/>
      <c r="C279" s="252"/>
      <c r="D279" s="40"/>
      <c r="E279" s="40"/>
      <c r="F279" s="40"/>
      <c r="G279" s="40"/>
      <c r="H279" s="40"/>
      <c r="I279" s="40"/>
      <c r="J279" s="155"/>
    </row>
    <row r="280" spans="1:10" ht="15.6" x14ac:dyDescent="0.3">
      <c r="A280" s="87"/>
      <c r="B280" s="280"/>
      <c r="C280" s="242"/>
      <c r="D280" s="88"/>
      <c r="E280" s="88"/>
      <c r="F280" s="88"/>
      <c r="G280" s="88"/>
      <c r="H280" s="88"/>
      <c r="I280" s="88"/>
      <c r="J280" s="87"/>
    </row>
    <row r="281" spans="1:10" ht="16.2" thickBot="1" x14ac:dyDescent="0.35">
      <c r="A281" s="85" t="s">
        <v>1298</v>
      </c>
      <c r="B281" s="309"/>
      <c r="C281" s="254"/>
      <c r="D281" s="79"/>
      <c r="E281" s="79"/>
      <c r="F281" s="79"/>
      <c r="G281" s="79"/>
      <c r="H281" s="79"/>
      <c r="I281" s="79"/>
      <c r="J281" s="174"/>
    </row>
    <row r="282" spans="1:10" ht="27.6" thickBot="1" x14ac:dyDescent="0.35">
      <c r="A282" s="24" t="s">
        <v>0</v>
      </c>
      <c r="B282" s="295" t="s">
        <v>1</v>
      </c>
      <c r="C282" s="237" t="s">
        <v>2</v>
      </c>
      <c r="D282" s="69" t="s">
        <v>854</v>
      </c>
      <c r="E282" s="580" t="s">
        <v>855</v>
      </c>
      <c r="F282" s="581"/>
      <c r="G282" s="581"/>
      <c r="H282" s="582"/>
      <c r="I282" s="70" t="s">
        <v>856</v>
      </c>
      <c r="J282" s="8" t="s">
        <v>3</v>
      </c>
    </row>
    <row r="283" spans="1:10" ht="16.2" thickBot="1" x14ac:dyDescent="0.35">
      <c r="A283" s="136">
        <v>1</v>
      </c>
      <c r="B283" s="135" t="s">
        <v>918</v>
      </c>
      <c r="C283" s="251"/>
      <c r="D283" s="6">
        <v>2744</v>
      </c>
      <c r="E283" s="83">
        <v>1500</v>
      </c>
      <c r="F283" s="83"/>
      <c r="G283" s="83"/>
      <c r="H283" s="83">
        <f>SUM(E283:G283)</f>
        <v>1500</v>
      </c>
      <c r="I283" s="83">
        <f>D283-H283</f>
        <v>1244</v>
      </c>
      <c r="J283" s="83" t="s">
        <v>1395</v>
      </c>
    </row>
    <row r="284" spans="1:10" ht="15.6" x14ac:dyDescent="0.3">
      <c r="A284" s="138"/>
      <c r="B284" s="146"/>
      <c r="C284" s="248"/>
      <c r="D284" s="139"/>
      <c r="E284" s="139"/>
      <c r="F284" s="139"/>
      <c r="G284" s="139"/>
      <c r="H284" s="139"/>
      <c r="I284" s="139"/>
      <c r="J284" s="177"/>
    </row>
    <row r="285" spans="1:10" ht="15.6" x14ac:dyDescent="0.3">
      <c r="A285" s="35"/>
      <c r="B285" s="300"/>
      <c r="C285" s="246"/>
      <c r="D285" s="34"/>
      <c r="E285" s="34"/>
      <c r="F285" s="34"/>
      <c r="G285" s="34"/>
      <c r="H285" s="34"/>
      <c r="I285" s="34"/>
      <c r="J285" s="175"/>
    </row>
    <row r="286" spans="1:10" ht="15.6" x14ac:dyDescent="0.3">
      <c r="A286" s="87"/>
      <c r="B286" s="280"/>
      <c r="C286" s="242"/>
      <c r="D286" s="88"/>
      <c r="E286" s="88"/>
      <c r="F286" s="88"/>
      <c r="G286" s="88"/>
      <c r="H286" s="88"/>
      <c r="I286" s="88"/>
      <c r="J286" s="87"/>
    </row>
    <row r="287" spans="1:10" ht="15.6" x14ac:dyDescent="0.3">
      <c r="A287" s="35"/>
      <c r="B287" s="300"/>
      <c r="C287" s="246"/>
      <c r="D287" s="42"/>
      <c r="E287" s="42"/>
      <c r="F287" s="42"/>
      <c r="G287" s="42"/>
      <c r="H287" s="42"/>
      <c r="I287" s="42"/>
      <c r="J287" s="43"/>
    </row>
    <row r="288" spans="1:10" ht="15.6" x14ac:dyDescent="0.3">
      <c r="A288" s="35"/>
      <c r="B288" s="300"/>
      <c r="C288" s="246"/>
      <c r="D288" s="42"/>
      <c r="E288" s="42"/>
      <c r="F288" s="42"/>
      <c r="G288" s="42"/>
      <c r="H288" s="42"/>
      <c r="I288" s="42"/>
      <c r="J288" s="43"/>
    </row>
    <row r="289" spans="1:11" ht="15.6" x14ac:dyDescent="0.3">
      <c r="A289" s="35"/>
      <c r="B289" s="300"/>
      <c r="C289" s="246"/>
      <c r="D289" s="42"/>
      <c r="E289" s="42"/>
      <c r="F289" s="42"/>
      <c r="G289" s="42"/>
      <c r="H289" s="42"/>
      <c r="I289" s="42"/>
      <c r="J289" s="43"/>
    </row>
    <row r="290" spans="1:11" ht="15.6" x14ac:dyDescent="0.3">
      <c r="A290" s="43"/>
      <c r="B290" s="143"/>
      <c r="C290" s="241"/>
      <c r="D290" s="42"/>
      <c r="E290" s="42"/>
      <c r="F290" s="42"/>
      <c r="G290" s="42"/>
      <c r="H290" s="42"/>
      <c r="I290" s="42"/>
      <c r="J290" s="43"/>
    </row>
    <row r="291" spans="1:11" ht="15.6" x14ac:dyDescent="0.3">
      <c r="A291" s="178"/>
      <c r="B291" s="300"/>
      <c r="C291" s="257"/>
      <c r="D291" s="42"/>
      <c r="E291" s="42"/>
      <c r="F291" s="42"/>
      <c r="G291" s="42"/>
      <c r="H291" s="42"/>
      <c r="I291" s="42"/>
      <c r="J291" s="43"/>
    </row>
    <row r="292" spans="1:11" x14ac:dyDescent="0.3">
      <c r="A292" s="58"/>
      <c r="B292" s="314"/>
      <c r="C292" s="258"/>
      <c r="D292" s="149"/>
      <c r="E292" s="583"/>
      <c r="F292" s="583"/>
      <c r="G292" s="583"/>
      <c r="H292" s="583"/>
      <c r="I292" s="150"/>
      <c r="J292" s="59"/>
    </row>
    <row r="293" spans="1:11" ht="15.6" x14ac:dyDescent="0.3">
      <c r="A293" s="35"/>
      <c r="B293" s="188"/>
      <c r="C293" s="246"/>
      <c r="D293" s="42"/>
      <c r="E293" s="42"/>
      <c r="F293" s="42"/>
      <c r="G293" s="42"/>
      <c r="H293" s="42"/>
      <c r="I293" s="42"/>
      <c r="J293" s="42"/>
    </row>
    <row r="294" spans="1:11" ht="15.6" x14ac:dyDescent="0.3">
      <c r="A294" s="35"/>
      <c r="B294" s="188"/>
      <c r="C294" s="252"/>
      <c r="D294" s="42"/>
      <c r="E294" s="42"/>
      <c r="F294" s="42"/>
      <c r="G294" s="42"/>
      <c r="H294" s="42"/>
      <c r="I294" s="42"/>
      <c r="J294" s="42"/>
    </row>
    <row r="295" spans="1:11" ht="15.6" x14ac:dyDescent="0.3">
      <c r="A295" s="35"/>
      <c r="B295" s="300"/>
      <c r="C295" s="246"/>
      <c r="D295" s="42"/>
      <c r="E295" s="42"/>
      <c r="F295" s="42"/>
      <c r="G295" s="42"/>
      <c r="H295" s="42"/>
      <c r="I295" s="42"/>
      <c r="J295" s="43"/>
    </row>
    <row r="296" spans="1:11" ht="15.6" x14ac:dyDescent="0.3">
      <c r="A296" s="35"/>
      <c r="B296" s="300"/>
      <c r="C296" s="246"/>
      <c r="D296" s="42"/>
      <c r="E296" s="42"/>
      <c r="F296" s="42"/>
      <c r="G296" s="42"/>
      <c r="H296" s="42"/>
      <c r="I296" s="42"/>
      <c r="J296" s="43"/>
    </row>
    <row r="297" spans="1:11" x14ac:dyDescent="0.3">
      <c r="A297" s="43"/>
      <c r="B297" s="143"/>
      <c r="C297" s="241"/>
      <c r="D297" s="43"/>
      <c r="E297" s="43"/>
      <c r="F297" s="43"/>
      <c r="G297" s="43"/>
      <c r="H297" s="43"/>
      <c r="I297" s="43"/>
      <c r="J297" s="43"/>
      <c r="K297" s="43"/>
    </row>
  </sheetData>
  <sortState ref="B3:J25">
    <sortCondition ref="B3:B25"/>
  </sortState>
  <mergeCells count="25">
    <mergeCell ref="E2:G2"/>
    <mergeCell ref="E34:G34"/>
    <mergeCell ref="E136:H136"/>
    <mergeCell ref="E151:H151"/>
    <mergeCell ref="E144:H144"/>
    <mergeCell ref="E165:H165"/>
    <mergeCell ref="E181:H181"/>
    <mergeCell ref="E189:H189"/>
    <mergeCell ref="E196:H196"/>
    <mergeCell ref="E84:H84"/>
    <mergeCell ref="E158:H158"/>
    <mergeCell ref="E175:H175"/>
    <mergeCell ref="E94:H94"/>
    <mergeCell ref="E108:H108"/>
    <mergeCell ref="E123:H123"/>
    <mergeCell ref="E212:H212"/>
    <mergeCell ref="E218:H218"/>
    <mergeCell ref="E205:H205"/>
    <mergeCell ref="E292:H292"/>
    <mergeCell ref="E225:H225"/>
    <mergeCell ref="E243:H243"/>
    <mergeCell ref="E268:H268"/>
    <mergeCell ref="E274:H274"/>
    <mergeCell ref="E282:H282"/>
    <mergeCell ref="E261:H261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51"/>
  <sheetViews>
    <sheetView topLeftCell="A298" zoomScale="130" zoomScaleNormal="130" workbookViewId="0">
      <selection activeCell="E304" sqref="E304"/>
    </sheetView>
  </sheetViews>
  <sheetFormatPr defaultRowHeight="14.4" x14ac:dyDescent="0.3"/>
  <cols>
    <col min="1" max="1" width="5.5546875" customWidth="1"/>
    <col min="2" max="2" width="41.109375" bestFit="1" customWidth="1"/>
    <col min="4" max="4" width="11" customWidth="1"/>
    <col min="5" max="5" width="11" bestFit="1" customWidth="1"/>
    <col min="6" max="7" width="9.77734375" bestFit="1" customWidth="1"/>
    <col min="8" max="8" width="8.6640625" bestFit="1" customWidth="1"/>
    <col min="9" max="9" width="9.77734375" bestFit="1" customWidth="1"/>
    <col min="10" max="10" width="10.44140625" bestFit="1" customWidth="1"/>
    <col min="11" max="11" width="16.5546875" bestFit="1" customWidth="1"/>
  </cols>
  <sheetData>
    <row r="1" spans="1:11" ht="16.2" thickBot="1" x14ac:dyDescent="0.35">
      <c r="A1" s="5" t="s">
        <v>10</v>
      </c>
      <c r="B1" s="4"/>
      <c r="C1" s="6"/>
      <c r="D1" s="6"/>
      <c r="E1" s="6"/>
      <c r="F1" s="6"/>
      <c r="G1" s="6"/>
      <c r="H1" s="6"/>
      <c r="I1" s="6"/>
      <c r="J1" s="6"/>
      <c r="K1" s="7"/>
    </row>
    <row r="2" spans="1:11" ht="16.2" thickBot="1" x14ac:dyDescent="0.35">
      <c r="A2" s="5"/>
      <c r="B2" s="4"/>
      <c r="C2" s="6"/>
      <c r="D2" s="6"/>
      <c r="E2" s="6"/>
      <c r="F2" s="6"/>
      <c r="G2" s="6"/>
      <c r="H2" s="6"/>
      <c r="I2" s="6"/>
      <c r="J2" s="6"/>
      <c r="K2" s="7"/>
    </row>
    <row r="3" spans="1:11" ht="27.6" thickBot="1" x14ac:dyDescent="0.35">
      <c r="A3" s="64" t="s">
        <v>0</v>
      </c>
      <c r="B3" s="8" t="s">
        <v>1</v>
      </c>
      <c r="C3" s="64" t="s">
        <v>2</v>
      </c>
      <c r="D3" s="69" t="s">
        <v>854</v>
      </c>
      <c r="E3" s="580" t="s">
        <v>855</v>
      </c>
      <c r="F3" s="581"/>
      <c r="G3" s="581"/>
      <c r="H3" s="582"/>
      <c r="I3" s="265"/>
      <c r="J3" s="70" t="s">
        <v>856</v>
      </c>
      <c r="K3" s="8" t="s">
        <v>3</v>
      </c>
    </row>
    <row r="4" spans="1:11" ht="16.2" thickBot="1" x14ac:dyDescent="0.35">
      <c r="A4" s="17">
        <v>1</v>
      </c>
      <c r="B4" s="260" t="s">
        <v>1332</v>
      </c>
      <c r="C4" s="262"/>
      <c r="D4" s="13">
        <v>7512</v>
      </c>
      <c r="E4" s="13">
        <v>2040</v>
      </c>
      <c r="F4" s="13">
        <v>5472</v>
      </c>
      <c r="G4" s="13"/>
      <c r="H4" s="13"/>
      <c r="I4" s="13">
        <f t="shared" ref="I4:I41" si="0">SUM(E4:H4)</f>
        <v>7512</v>
      </c>
      <c r="J4" s="13">
        <f t="shared" ref="J4:J9" si="1">D4-E4-F4-G4-H4</f>
        <v>0</v>
      </c>
      <c r="K4" s="13" t="s">
        <v>1395</v>
      </c>
    </row>
    <row r="5" spans="1:11" ht="16.2" thickBot="1" x14ac:dyDescent="0.35">
      <c r="A5" s="17">
        <v>2</v>
      </c>
      <c r="B5" s="13" t="s">
        <v>1449</v>
      </c>
      <c r="C5" s="261"/>
      <c r="D5" s="13">
        <v>7512</v>
      </c>
      <c r="E5" s="13">
        <v>2040</v>
      </c>
      <c r="F5" s="13">
        <v>1060</v>
      </c>
      <c r="G5" s="13"/>
      <c r="H5" s="13"/>
      <c r="I5" s="13">
        <f t="shared" si="0"/>
        <v>3100</v>
      </c>
      <c r="J5" s="13">
        <f t="shared" si="1"/>
        <v>4412</v>
      </c>
      <c r="K5" s="13" t="s">
        <v>1395</v>
      </c>
    </row>
    <row r="6" spans="1:11" ht="16.2" thickBot="1" x14ac:dyDescent="0.35">
      <c r="A6" s="17">
        <v>3</v>
      </c>
      <c r="B6" s="13" t="s">
        <v>1504</v>
      </c>
      <c r="C6" s="262"/>
      <c r="D6" s="13">
        <v>7512</v>
      </c>
      <c r="E6" s="13">
        <v>2040</v>
      </c>
      <c r="F6" s="13">
        <v>1000</v>
      </c>
      <c r="G6" s="13">
        <v>1500</v>
      </c>
      <c r="H6" s="13"/>
      <c r="I6" s="13">
        <f t="shared" si="0"/>
        <v>4540</v>
      </c>
      <c r="J6" s="13">
        <f t="shared" si="1"/>
        <v>2972</v>
      </c>
      <c r="K6" s="13" t="s">
        <v>1395</v>
      </c>
    </row>
    <row r="7" spans="1:11" ht="16.2" thickBot="1" x14ac:dyDescent="0.35">
      <c r="A7" s="17">
        <v>4</v>
      </c>
      <c r="B7" s="13" t="s">
        <v>1502</v>
      </c>
      <c r="C7" s="262"/>
      <c r="D7" s="13">
        <v>7512</v>
      </c>
      <c r="E7" s="13">
        <v>2040</v>
      </c>
      <c r="F7" s="13">
        <v>1500</v>
      </c>
      <c r="G7" s="13"/>
      <c r="H7" s="13"/>
      <c r="I7" s="13">
        <f t="shared" si="0"/>
        <v>3540</v>
      </c>
      <c r="J7" s="13">
        <f t="shared" si="1"/>
        <v>3972</v>
      </c>
      <c r="K7" s="13" t="s">
        <v>1395</v>
      </c>
    </row>
    <row r="8" spans="1:11" ht="16.2" thickBot="1" x14ac:dyDescent="0.35">
      <c r="A8" s="17">
        <v>5</v>
      </c>
      <c r="B8" s="13" t="s">
        <v>1565</v>
      </c>
      <c r="C8" s="262"/>
      <c r="D8" s="13">
        <v>7512</v>
      </c>
      <c r="E8" s="13">
        <v>3500</v>
      </c>
      <c r="F8" s="13">
        <v>1972</v>
      </c>
      <c r="G8" s="13"/>
      <c r="H8" s="13"/>
      <c r="I8" s="13">
        <f t="shared" si="0"/>
        <v>5472</v>
      </c>
      <c r="J8" s="13">
        <f t="shared" si="1"/>
        <v>2040</v>
      </c>
      <c r="K8" s="13" t="s">
        <v>1395</v>
      </c>
    </row>
    <row r="9" spans="1:11" ht="16.2" thickBot="1" x14ac:dyDescent="0.35">
      <c r="A9" s="17">
        <v>6</v>
      </c>
      <c r="B9" s="13" t="s">
        <v>1570</v>
      </c>
      <c r="C9" s="262">
        <v>1486</v>
      </c>
      <c r="D9" s="13">
        <v>5472</v>
      </c>
      <c r="E9" s="13">
        <v>3000</v>
      </c>
      <c r="F9" s="13"/>
      <c r="G9" s="13"/>
      <c r="H9" s="13"/>
      <c r="I9" s="13">
        <f t="shared" si="0"/>
        <v>3000</v>
      </c>
      <c r="J9" s="13">
        <f t="shared" si="1"/>
        <v>2472</v>
      </c>
      <c r="K9" s="13" t="s">
        <v>1395</v>
      </c>
    </row>
    <row r="10" spans="1:11" ht="16.2" thickBot="1" x14ac:dyDescent="0.35">
      <c r="A10" s="17">
        <v>7</v>
      </c>
      <c r="B10" s="13" t="s">
        <v>1413</v>
      </c>
      <c r="C10" s="262"/>
      <c r="D10" s="13">
        <v>7512</v>
      </c>
      <c r="E10" s="13">
        <v>2040</v>
      </c>
      <c r="F10" s="13">
        <v>5472</v>
      </c>
      <c r="G10" s="13"/>
      <c r="H10" s="13"/>
      <c r="I10" s="13">
        <f t="shared" si="0"/>
        <v>7512</v>
      </c>
      <c r="J10" s="13">
        <f>D7-E7-F10-G10-H10</f>
        <v>0</v>
      </c>
      <c r="K10" s="13" t="s">
        <v>1395</v>
      </c>
    </row>
    <row r="11" spans="1:11" ht="16.2" thickBot="1" x14ac:dyDescent="0.35">
      <c r="A11" s="17">
        <v>8</v>
      </c>
      <c r="B11" s="13" t="s">
        <v>1447</v>
      </c>
      <c r="C11" s="261"/>
      <c r="D11" s="13">
        <v>7512</v>
      </c>
      <c r="E11" s="13">
        <v>2040</v>
      </c>
      <c r="F11" s="13"/>
      <c r="G11" s="13"/>
      <c r="H11" s="13"/>
      <c r="I11" s="13">
        <f t="shared" si="0"/>
        <v>2040</v>
      </c>
      <c r="J11" s="13">
        <f t="shared" ref="J11:J47" si="2">D11-E11-F11-G11-H11</f>
        <v>5472</v>
      </c>
      <c r="K11" s="13"/>
    </row>
    <row r="12" spans="1:11" ht="16.2" thickBot="1" x14ac:dyDescent="0.35">
      <c r="A12" s="17">
        <v>9</v>
      </c>
      <c r="B12" s="133" t="s">
        <v>1508</v>
      </c>
      <c r="C12" s="7"/>
      <c r="D12" s="13">
        <v>7512</v>
      </c>
      <c r="E12" s="133">
        <v>2040</v>
      </c>
      <c r="F12" s="7">
        <v>3000</v>
      </c>
      <c r="G12" s="7"/>
      <c r="H12" s="7"/>
      <c r="I12" s="133">
        <f t="shared" si="0"/>
        <v>5040</v>
      </c>
      <c r="J12" s="13">
        <f t="shared" si="2"/>
        <v>2472</v>
      </c>
      <c r="K12" s="13" t="s">
        <v>1395</v>
      </c>
    </row>
    <row r="13" spans="1:11" ht="16.2" thickBot="1" x14ac:dyDescent="0.35">
      <c r="A13" s="17">
        <v>10</v>
      </c>
      <c r="B13" s="133" t="s">
        <v>1550</v>
      </c>
      <c r="C13" s="7"/>
      <c r="D13" s="13">
        <v>7512</v>
      </c>
      <c r="E13" s="133">
        <v>3000</v>
      </c>
      <c r="F13" s="7"/>
      <c r="G13" s="7"/>
      <c r="H13" s="7"/>
      <c r="I13" s="133">
        <f t="shared" si="0"/>
        <v>3000</v>
      </c>
      <c r="J13" s="13">
        <f t="shared" si="2"/>
        <v>4512</v>
      </c>
      <c r="K13" s="13" t="s">
        <v>1395</v>
      </c>
    </row>
    <row r="14" spans="1:11" ht="16.2" thickBot="1" x14ac:dyDescent="0.35">
      <c r="A14" s="17">
        <v>11</v>
      </c>
      <c r="B14" s="13" t="s">
        <v>1384</v>
      </c>
      <c r="C14" s="262"/>
      <c r="D14" s="13">
        <v>7512</v>
      </c>
      <c r="E14" s="13">
        <v>2040</v>
      </c>
      <c r="F14" s="13">
        <v>5472</v>
      </c>
      <c r="G14" s="13"/>
      <c r="H14" s="13"/>
      <c r="I14" s="13">
        <f t="shared" si="0"/>
        <v>7512</v>
      </c>
      <c r="J14" s="13">
        <f t="shared" si="2"/>
        <v>0</v>
      </c>
      <c r="K14" s="13" t="s">
        <v>1395</v>
      </c>
    </row>
    <row r="15" spans="1:11" ht="16.2" thickBot="1" x14ac:dyDescent="0.35">
      <c r="A15" s="17">
        <v>12</v>
      </c>
      <c r="B15" s="13" t="s">
        <v>1494</v>
      </c>
      <c r="C15" s="262"/>
      <c r="D15" s="13">
        <v>7512</v>
      </c>
      <c r="E15" s="13">
        <v>2040</v>
      </c>
      <c r="F15" s="13">
        <v>2800</v>
      </c>
      <c r="G15" s="13"/>
      <c r="H15" s="13"/>
      <c r="I15" s="13">
        <f t="shared" si="0"/>
        <v>4840</v>
      </c>
      <c r="J15" s="13">
        <f t="shared" si="2"/>
        <v>2672</v>
      </c>
      <c r="K15" s="13" t="s">
        <v>1395</v>
      </c>
    </row>
    <row r="16" spans="1:11" ht="16.2" thickBot="1" x14ac:dyDescent="0.35">
      <c r="A16" s="17">
        <v>13</v>
      </c>
      <c r="B16" s="13" t="s">
        <v>1386</v>
      </c>
      <c r="C16" s="262"/>
      <c r="D16" s="13">
        <v>7512</v>
      </c>
      <c r="E16" s="13">
        <v>2040</v>
      </c>
      <c r="F16" s="13">
        <v>3000</v>
      </c>
      <c r="G16" s="13">
        <v>2472</v>
      </c>
      <c r="H16" s="13"/>
      <c r="I16" s="13">
        <f t="shared" si="0"/>
        <v>7512</v>
      </c>
      <c r="J16" s="13">
        <f t="shared" si="2"/>
        <v>0</v>
      </c>
      <c r="K16" s="13" t="s">
        <v>1395</v>
      </c>
    </row>
    <row r="17" spans="1:11" ht="16.2" thickBot="1" x14ac:dyDescent="0.35">
      <c r="A17" s="17">
        <v>14</v>
      </c>
      <c r="B17" s="13" t="s">
        <v>1367</v>
      </c>
      <c r="C17" s="262"/>
      <c r="D17" s="13">
        <v>7512</v>
      </c>
      <c r="E17" s="13">
        <v>2040</v>
      </c>
      <c r="F17" s="13">
        <v>5000</v>
      </c>
      <c r="G17" s="13"/>
      <c r="H17" s="13"/>
      <c r="I17" s="13">
        <f t="shared" si="0"/>
        <v>7040</v>
      </c>
      <c r="J17" s="13">
        <f t="shared" si="2"/>
        <v>472</v>
      </c>
      <c r="K17" s="13" t="s">
        <v>1395</v>
      </c>
    </row>
    <row r="18" spans="1:11" ht="16.2" thickBot="1" x14ac:dyDescent="0.35">
      <c r="A18" s="17">
        <v>15</v>
      </c>
      <c r="B18" s="13" t="s">
        <v>1579</v>
      </c>
      <c r="C18" s="262"/>
      <c r="D18" s="13">
        <v>7512</v>
      </c>
      <c r="E18" s="13">
        <v>500</v>
      </c>
      <c r="F18" s="13">
        <v>2200</v>
      </c>
      <c r="G18" s="13">
        <v>3000</v>
      </c>
      <c r="H18" s="13"/>
      <c r="I18" s="13">
        <f t="shared" si="0"/>
        <v>5700</v>
      </c>
      <c r="J18" s="13">
        <f t="shared" si="2"/>
        <v>1812</v>
      </c>
      <c r="K18" s="13" t="s">
        <v>1395</v>
      </c>
    </row>
    <row r="19" spans="1:11" ht="16.2" thickBot="1" x14ac:dyDescent="0.35">
      <c r="A19" s="17">
        <v>16</v>
      </c>
      <c r="B19" s="20" t="s">
        <v>1482</v>
      </c>
      <c r="C19" s="261"/>
      <c r="D19" s="13">
        <v>7512</v>
      </c>
      <c r="E19" s="13">
        <v>2040</v>
      </c>
      <c r="F19" s="13"/>
      <c r="G19" s="13"/>
      <c r="H19" s="13"/>
      <c r="I19" s="13">
        <f t="shared" si="0"/>
        <v>2040</v>
      </c>
      <c r="J19" s="13">
        <f t="shared" si="2"/>
        <v>5472</v>
      </c>
      <c r="K19" s="13"/>
    </row>
    <row r="20" spans="1:11" ht="16.2" thickBot="1" x14ac:dyDescent="0.35">
      <c r="A20" s="17">
        <v>17</v>
      </c>
      <c r="B20" s="13" t="s">
        <v>1433</v>
      </c>
      <c r="C20" s="262"/>
      <c r="D20" s="13">
        <v>7512</v>
      </c>
      <c r="E20" s="13">
        <v>2040</v>
      </c>
      <c r="F20" s="13">
        <v>1500</v>
      </c>
      <c r="G20" s="13">
        <v>1500</v>
      </c>
      <c r="H20" s="13">
        <v>332</v>
      </c>
      <c r="I20" s="13">
        <f t="shared" si="0"/>
        <v>5372</v>
      </c>
      <c r="J20" s="13">
        <f t="shared" si="2"/>
        <v>2140</v>
      </c>
      <c r="K20" s="351" t="s">
        <v>1395</v>
      </c>
    </row>
    <row r="21" spans="1:11" ht="16.2" thickBot="1" x14ac:dyDescent="0.35">
      <c r="A21" s="17">
        <v>18</v>
      </c>
      <c r="B21" s="13" t="s">
        <v>1492</v>
      </c>
      <c r="C21" s="262"/>
      <c r="D21" s="13">
        <v>7512</v>
      </c>
      <c r="E21" s="13">
        <v>7040</v>
      </c>
      <c r="F21" s="13"/>
      <c r="G21" s="13"/>
      <c r="H21" s="13"/>
      <c r="I21" s="13">
        <f t="shared" si="0"/>
        <v>7040</v>
      </c>
      <c r="J21" s="13">
        <f t="shared" si="2"/>
        <v>472</v>
      </c>
      <c r="K21" s="13" t="s">
        <v>1395</v>
      </c>
    </row>
    <row r="22" spans="1:11" ht="16.2" thickBot="1" x14ac:dyDescent="0.35">
      <c r="A22" s="17">
        <v>19</v>
      </c>
      <c r="B22" s="13" t="s">
        <v>1493</v>
      </c>
      <c r="C22" s="262"/>
      <c r="D22" s="13">
        <v>7512</v>
      </c>
      <c r="E22" s="13">
        <v>2040</v>
      </c>
      <c r="F22" s="13">
        <v>3500</v>
      </c>
      <c r="G22" s="13"/>
      <c r="H22" s="13"/>
      <c r="I22" s="13">
        <f t="shared" si="0"/>
        <v>5540</v>
      </c>
      <c r="J22" s="13">
        <f t="shared" si="2"/>
        <v>1972</v>
      </c>
      <c r="K22" s="6" t="s">
        <v>1395</v>
      </c>
    </row>
    <row r="23" spans="1:11" ht="16.2" thickBot="1" x14ac:dyDescent="0.35">
      <c r="A23" s="17">
        <v>20</v>
      </c>
      <c r="B23" s="13" t="s">
        <v>1710</v>
      </c>
      <c r="C23" s="262"/>
      <c r="D23" s="13">
        <v>7512</v>
      </c>
      <c r="E23" s="13">
        <v>7512</v>
      </c>
      <c r="F23" s="13"/>
      <c r="G23" s="13"/>
      <c r="H23" s="13"/>
      <c r="I23" s="13">
        <f t="shared" ref="I23:I24" si="3">SUM(E23:H23)</f>
        <v>7512</v>
      </c>
      <c r="J23" s="13">
        <f t="shared" ref="J23:J24" si="4">D23-E23-F23-G23-H23</f>
        <v>0</v>
      </c>
      <c r="K23" s="6"/>
    </row>
    <row r="24" spans="1:11" ht="16.2" thickBot="1" x14ac:dyDescent="0.35">
      <c r="A24" s="17">
        <v>21</v>
      </c>
      <c r="B24" s="13" t="s">
        <v>1456</v>
      </c>
      <c r="C24" s="262"/>
      <c r="D24" s="13">
        <v>7512</v>
      </c>
      <c r="E24" s="13">
        <v>2040</v>
      </c>
      <c r="F24" s="13">
        <v>2500</v>
      </c>
      <c r="G24" s="13">
        <v>2480</v>
      </c>
      <c r="H24" s="13">
        <v>491</v>
      </c>
      <c r="I24" s="13">
        <f t="shared" si="3"/>
        <v>7511</v>
      </c>
      <c r="J24" s="13">
        <f t="shared" si="4"/>
        <v>1</v>
      </c>
      <c r="K24" s="13"/>
    </row>
    <row r="25" spans="1:11" ht="16.2" thickBot="1" x14ac:dyDescent="0.35">
      <c r="A25" s="17">
        <v>22</v>
      </c>
      <c r="B25" s="20" t="s">
        <v>1370</v>
      </c>
      <c r="C25" s="262"/>
      <c r="D25" s="13">
        <v>7512</v>
      </c>
      <c r="E25" s="13">
        <v>4540</v>
      </c>
      <c r="F25" s="13"/>
      <c r="G25" s="13"/>
      <c r="H25" s="13"/>
      <c r="I25" s="13">
        <f t="shared" si="0"/>
        <v>4540</v>
      </c>
      <c r="J25" s="13">
        <f t="shared" si="2"/>
        <v>2972</v>
      </c>
      <c r="K25" s="13" t="s">
        <v>1395</v>
      </c>
    </row>
    <row r="26" spans="1:11" ht="16.2" thickBot="1" x14ac:dyDescent="0.35">
      <c r="A26" s="17">
        <v>23</v>
      </c>
      <c r="B26" s="20" t="s">
        <v>1636</v>
      </c>
      <c r="C26" s="262"/>
      <c r="D26" s="13">
        <v>7512</v>
      </c>
      <c r="E26" s="13">
        <v>2400</v>
      </c>
      <c r="F26" s="13"/>
      <c r="G26" s="13"/>
      <c r="H26" s="13"/>
      <c r="I26" s="13">
        <f t="shared" si="0"/>
        <v>2400</v>
      </c>
      <c r="J26" s="13">
        <f t="shared" si="2"/>
        <v>5112</v>
      </c>
      <c r="K26" s="13" t="s">
        <v>1395</v>
      </c>
    </row>
    <row r="27" spans="1:11" ht="16.2" thickBot="1" x14ac:dyDescent="0.35">
      <c r="A27" s="17">
        <v>24</v>
      </c>
      <c r="B27" s="13" t="s">
        <v>1448</v>
      </c>
      <c r="C27" s="261"/>
      <c r="D27" s="13">
        <v>7512</v>
      </c>
      <c r="E27" s="13">
        <v>2040</v>
      </c>
      <c r="F27" s="13">
        <v>3000</v>
      </c>
      <c r="G27" s="13"/>
      <c r="H27" s="13"/>
      <c r="I27" s="13">
        <f t="shared" si="0"/>
        <v>5040</v>
      </c>
      <c r="J27" s="13">
        <f t="shared" si="2"/>
        <v>2472</v>
      </c>
      <c r="K27" s="13" t="s">
        <v>1395</v>
      </c>
    </row>
    <row r="28" spans="1:11" ht="16.2" thickBot="1" x14ac:dyDescent="0.35">
      <c r="A28" s="17">
        <v>25</v>
      </c>
      <c r="B28" s="260" t="s">
        <v>1398</v>
      </c>
      <c r="C28" s="261"/>
      <c r="D28" s="13">
        <v>7512</v>
      </c>
      <c r="E28" s="13">
        <v>3000</v>
      </c>
      <c r="F28" s="13">
        <v>2100</v>
      </c>
      <c r="G28" s="13"/>
      <c r="H28" s="13"/>
      <c r="I28" s="13">
        <f t="shared" si="0"/>
        <v>5100</v>
      </c>
      <c r="J28" s="13">
        <f t="shared" si="2"/>
        <v>2412</v>
      </c>
      <c r="K28" s="13" t="s">
        <v>1395</v>
      </c>
    </row>
    <row r="29" spans="1:11" ht="16.2" thickBot="1" x14ac:dyDescent="0.35">
      <c r="A29" s="17">
        <v>26</v>
      </c>
      <c r="B29" s="260" t="s">
        <v>1664</v>
      </c>
      <c r="C29" s="261"/>
      <c r="D29" s="13">
        <v>7512</v>
      </c>
      <c r="E29" s="13">
        <v>2500</v>
      </c>
      <c r="F29" s="13"/>
      <c r="G29" s="13"/>
      <c r="H29" s="13"/>
      <c r="I29" s="13">
        <f t="shared" ref="I29" si="5">SUM(E29:H29)</f>
        <v>2500</v>
      </c>
      <c r="J29" s="13">
        <f t="shared" ref="J29" si="6">D29-E29-F29-G29-H29</f>
        <v>5012</v>
      </c>
      <c r="K29" s="13"/>
    </row>
    <row r="30" spans="1:11" ht="16.2" thickBot="1" x14ac:dyDescent="0.35">
      <c r="A30" s="17">
        <v>27</v>
      </c>
      <c r="B30" s="13" t="s">
        <v>1485</v>
      </c>
      <c r="C30" s="262">
        <v>3486</v>
      </c>
      <c r="D30" s="13">
        <v>7512</v>
      </c>
      <c r="E30" s="13">
        <v>2000</v>
      </c>
      <c r="F30" s="13">
        <v>2000</v>
      </c>
      <c r="G30" s="13"/>
      <c r="H30" s="13"/>
      <c r="I30" s="13">
        <f t="shared" si="0"/>
        <v>4000</v>
      </c>
      <c r="J30" s="13">
        <f t="shared" si="2"/>
        <v>3512</v>
      </c>
      <c r="K30" s="13" t="s">
        <v>1395</v>
      </c>
    </row>
    <row r="31" spans="1:11" ht="16.2" thickBot="1" x14ac:dyDescent="0.35">
      <c r="A31" s="17">
        <v>28</v>
      </c>
      <c r="B31" s="13" t="s">
        <v>1467</v>
      </c>
      <c r="C31" s="261"/>
      <c r="D31" s="13">
        <v>7512</v>
      </c>
      <c r="E31" s="13">
        <v>2010</v>
      </c>
      <c r="F31" s="13">
        <v>3000</v>
      </c>
      <c r="G31" s="13">
        <v>2502</v>
      </c>
      <c r="H31" s="13"/>
      <c r="I31" s="13">
        <f t="shared" si="0"/>
        <v>7512</v>
      </c>
      <c r="J31" s="13">
        <f t="shared" si="2"/>
        <v>0</v>
      </c>
      <c r="K31" s="13" t="s">
        <v>1395</v>
      </c>
    </row>
    <row r="32" spans="1:11" ht="16.2" thickBot="1" x14ac:dyDescent="0.35">
      <c r="A32" s="17">
        <v>29</v>
      </c>
      <c r="B32" s="13" t="s">
        <v>1432</v>
      </c>
      <c r="C32" s="262"/>
      <c r="D32" s="13">
        <v>7512</v>
      </c>
      <c r="E32" s="13">
        <v>2040</v>
      </c>
      <c r="F32" s="13">
        <v>2000</v>
      </c>
      <c r="G32" s="13">
        <v>3000</v>
      </c>
      <c r="H32" s="13"/>
      <c r="I32" s="13">
        <f t="shared" si="0"/>
        <v>7040</v>
      </c>
      <c r="J32" s="13">
        <f t="shared" si="2"/>
        <v>472</v>
      </c>
      <c r="K32" s="13" t="s">
        <v>1395</v>
      </c>
    </row>
    <row r="33" spans="1:11" ht="16.2" thickBot="1" x14ac:dyDescent="0.35">
      <c r="A33" s="17">
        <v>30</v>
      </c>
      <c r="B33" s="13" t="s">
        <v>1561</v>
      </c>
      <c r="C33" s="262"/>
      <c r="D33" s="13">
        <v>7512</v>
      </c>
      <c r="E33" s="13">
        <v>2500</v>
      </c>
      <c r="F33" s="13">
        <v>1700</v>
      </c>
      <c r="G33" s="13"/>
      <c r="H33" s="13"/>
      <c r="I33" s="13">
        <f t="shared" si="0"/>
        <v>4200</v>
      </c>
      <c r="J33" s="13">
        <f t="shared" si="2"/>
        <v>3312</v>
      </c>
      <c r="K33" s="13" t="s">
        <v>1395</v>
      </c>
    </row>
    <row r="34" spans="1:11" ht="16.2" thickBot="1" x14ac:dyDescent="0.35">
      <c r="A34" s="17">
        <v>31</v>
      </c>
      <c r="B34" s="13" t="s">
        <v>1411</v>
      </c>
      <c r="C34" s="262"/>
      <c r="D34" s="13">
        <v>7512</v>
      </c>
      <c r="E34" s="13">
        <v>2040</v>
      </c>
      <c r="F34" s="13">
        <v>3000</v>
      </c>
      <c r="G34" s="13">
        <v>2472</v>
      </c>
      <c r="H34" s="13"/>
      <c r="I34" s="13">
        <f t="shared" si="0"/>
        <v>7512</v>
      </c>
      <c r="J34" s="13">
        <f t="shared" si="2"/>
        <v>0</v>
      </c>
      <c r="K34" s="13" t="s">
        <v>1395</v>
      </c>
    </row>
    <row r="35" spans="1:11" ht="16.2" thickBot="1" x14ac:dyDescent="0.35">
      <c r="A35" s="17">
        <v>32</v>
      </c>
      <c r="B35" s="13" t="s">
        <v>1362</v>
      </c>
      <c r="C35" s="261"/>
      <c r="D35" s="13">
        <v>7512</v>
      </c>
      <c r="E35" s="13">
        <v>5500</v>
      </c>
      <c r="F35" s="13">
        <v>2040</v>
      </c>
      <c r="G35" s="13"/>
      <c r="H35" s="13"/>
      <c r="I35" s="13">
        <f t="shared" si="0"/>
        <v>7540</v>
      </c>
      <c r="J35" s="13">
        <f t="shared" si="2"/>
        <v>-28</v>
      </c>
      <c r="K35" s="13"/>
    </row>
    <row r="36" spans="1:11" ht="16.2" thickBot="1" x14ac:dyDescent="0.35">
      <c r="A36" s="17">
        <v>33</v>
      </c>
      <c r="B36" s="260" t="s">
        <v>1362</v>
      </c>
      <c r="C36" s="262"/>
      <c r="D36" s="13">
        <v>7512</v>
      </c>
      <c r="E36" s="13">
        <v>2040</v>
      </c>
      <c r="F36" s="13"/>
      <c r="G36" s="13"/>
      <c r="H36" s="13"/>
      <c r="I36" s="13">
        <f t="shared" si="0"/>
        <v>2040</v>
      </c>
      <c r="J36" s="13">
        <f t="shared" si="2"/>
        <v>5472</v>
      </c>
      <c r="K36" s="13"/>
    </row>
    <row r="37" spans="1:11" ht="16.2" thickBot="1" x14ac:dyDescent="0.35">
      <c r="A37" s="17">
        <v>34</v>
      </c>
      <c r="B37" s="133" t="s">
        <v>1547</v>
      </c>
      <c r="C37" s="7"/>
      <c r="D37" s="13">
        <v>7512</v>
      </c>
      <c r="E37" s="133">
        <v>2000</v>
      </c>
      <c r="F37" s="7">
        <v>1200</v>
      </c>
      <c r="G37" s="7"/>
      <c r="H37" s="7"/>
      <c r="I37" s="133">
        <f t="shared" si="0"/>
        <v>3200</v>
      </c>
      <c r="J37" s="13">
        <f t="shared" si="2"/>
        <v>4312</v>
      </c>
      <c r="K37" s="351" t="s">
        <v>1395</v>
      </c>
    </row>
    <row r="38" spans="1:11" ht="16.2" thickBot="1" x14ac:dyDescent="0.35">
      <c r="A38" s="17">
        <v>35</v>
      </c>
      <c r="B38" s="13" t="s">
        <v>1495</v>
      </c>
      <c r="C38" s="262"/>
      <c r="D38" s="13">
        <v>7512</v>
      </c>
      <c r="E38" s="13">
        <v>2040</v>
      </c>
      <c r="F38" s="13">
        <v>3000</v>
      </c>
      <c r="G38" s="13"/>
      <c r="H38" s="13"/>
      <c r="I38" s="13">
        <f t="shared" si="0"/>
        <v>5040</v>
      </c>
      <c r="J38" s="13">
        <f t="shared" si="2"/>
        <v>2472</v>
      </c>
      <c r="K38" s="13"/>
    </row>
    <row r="39" spans="1:11" ht="16.2" thickBot="1" x14ac:dyDescent="0.35">
      <c r="A39" s="17">
        <v>36</v>
      </c>
      <c r="B39" s="260" t="s">
        <v>1355</v>
      </c>
      <c r="C39" s="262"/>
      <c r="D39" s="13">
        <v>7512</v>
      </c>
      <c r="E39" s="13">
        <v>2040</v>
      </c>
      <c r="F39" s="13">
        <v>2500</v>
      </c>
      <c r="G39" s="13"/>
      <c r="H39" s="13"/>
      <c r="I39" s="13">
        <f t="shared" si="0"/>
        <v>4540</v>
      </c>
      <c r="J39" s="13">
        <f t="shared" si="2"/>
        <v>2972</v>
      </c>
      <c r="K39" s="13" t="s">
        <v>1395</v>
      </c>
    </row>
    <row r="40" spans="1:11" ht="16.2" thickBot="1" x14ac:dyDescent="0.35">
      <c r="A40" s="17">
        <v>37</v>
      </c>
      <c r="B40" s="13" t="s">
        <v>1484</v>
      </c>
      <c r="C40" s="262"/>
      <c r="D40" s="13">
        <v>7512</v>
      </c>
      <c r="E40" s="13">
        <v>2040</v>
      </c>
      <c r="F40" s="13">
        <v>3000</v>
      </c>
      <c r="G40" s="13"/>
      <c r="H40" s="13"/>
      <c r="I40" s="13">
        <f t="shared" si="0"/>
        <v>5040</v>
      </c>
      <c r="J40" s="13">
        <f t="shared" si="2"/>
        <v>2472</v>
      </c>
      <c r="K40" s="13"/>
    </row>
    <row r="41" spans="1:11" ht="16.2" thickBot="1" x14ac:dyDescent="0.35">
      <c r="A41" s="17">
        <v>38</v>
      </c>
      <c r="B41" s="13" t="s">
        <v>1330</v>
      </c>
      <c r="C41" s="261"/>
      <c r="D41" s="13">
        <v>7512</v>
      </c>
      <c r="E41" s="13">
        <v>2040</v>
      </c>
      <c r="F41" s="13">
        <v>1860</v>
      </c>
      <c r="G41" s="13">
        <v>2100</v>
      </c>
      <c r="H41" s="13"/>
      <c r="I41" s="13">
        <f t="shared" si="0"/>
        <v>6000</v>
      </c>
      <c r="J41" s="13">
        <f t="shared" si="2"/>
        <v>1512</v>
      </c>
      <c r="K41" s="13" t="s">
        <v>1395</v>
      </c>
    </row>
    <row r="42" spans="1:11" ht="16.2" thickBot="1" x14ac:dyDescent="0.35">
      <c r="A42" s="17">
        <v>39</v>
      </c>
      <c r="B42" s="13" t="s">
        <v>1328</v>
      </c>
      <c r="C42" s="262">
        <v>3541</v>
      </c>
      <c r="D42" s="13">
        <v>7512</v>
      </c>
      <c r="E42" s="13">
        <v>2040</v>
      </c>
      <c r="F42" s="13">
        <v>2100</v>
      </c>
      <c r="G42" s="13">
        <v>1500</v>
      </c>
      <c r="H42" s="13"/>
      <c r="I42" s="13">
        <f t="shared" ref="I42:I67" si="7">SUM(E42:H42)</f>
        <v>5640</v>
      </c>
      <c r="J42" s="13">
        <f t="shared" si="2"/>
        <v>1872</v>
      </c>
      <c r="K42" s="13" t="s">
        <v>1395</v>
      </c>
    </row>
    <row r="43" spans="1:11" ht="16.2" thickBot="1" x14ac:dyDescent="0.35">
      <c r="A43" s="17">
        <v>40</v>
      </c>
      <c r="B43" s="13" t="s">
        <v>1327</v>
      </c>
      <c r="C43" s="261"/>
      <c r="D43" s="13">
        <v>7512</v>
      </c>
      <c r="E43" s="13">
        <v>2040</v>
      </c>
      <c r="F43" s="13">
        <v>2000</v>
      </c>
      <c r="G43" s="13">
        <v>1000</v>
      </c>
      <c r="H43" s="13">
        <v>2000</v>
      </c>
      <c r="I43" s="13">
        <f t="shared" si="7"/>
        <v>7040</v>
      </c>
      <c r="J43" s="13">
        <f t="shared" si="2"/>
        <v>472</v>
      </c>
      <c r="K43" s="13" t="s">
        <v>1395</v>
      </c>
    </row>
    <row r="44" spans="1:11" ht="16.2" thickBot="1" x14ac:dyDescent="0.35">
      <c r="A44" s="17">
        <v>41</v>
      </c>
      <c r="B44" s="13" t="s">
        <v>1573</v>
      </c>
      <c r="C44" s="261"/>
      <c r="D44" s="13">
        <v>7512</v>
      </c>
      <c r="E44" s="13"/>
      <c r="F44" s="13">
        <v>2000</v>
      </c>
      <c r="G44" s="13"/>
      <c r="H44" s="13"/>
      <c r="I44" s="13">
        <f t="shared" si="7"/>
        <v>2000</v>
      </c>
      <c r="J44" s="13">
        <f t="shared" si="2"/>
        <v>5512</v>
      </c>
      <c r="K44" s="13" t="s">
        <v>1395</v>
      </c>
    </row>
    <row r="45" spans="1:11" ht="16.2" thickBot="1" x14ac:dyDescent="0.35">
      <c r="A45" s="17">
        <v>42</v>
      </c>
      <c r="B45" s="13" t="s">
        <v>1606</v>
      </c>
      <c r="C45" s="261"/>
      <c r="D45" s="13">
        <v>7512</v>
      </c>
      <c r="E45" s="13">
        <v>2000</v>
      </c>
      <c r="F45" s="13"/>
      <c r="G45" s="13"/>
      <c r="H45" s="13"/>
      <c r="I45" s="13">
        <f t="shared" ref="I45" si="8">SUM(E45:H45)</f>
        <v>2000</v>
      </c>
      <c r="J45" s="13">
        <f t="shared" ref="J45" si="9">D45-E45-F45-G45-H45</f>
        <v>5512</v>
      </c>
      <c r="K45" s="13"/>
    </row>
    <row r="46" spans="1:11" ht="16.2" thickBot="1" x14ac:dyDescent="0.35">
      <c r="A46" s="17">
        <v>43</v>
      </c>
      <c r="B46" s="260" t="s">
        <v>1483</v>
      </c>
      <c r="C46" s="261"/>
      <c r="D46" s="13">
        <v>7512</v>
      </c>
      <c r="E46" s="13">
        <v>2040</v>
      </c>
      <c r="F46" s="13"/>
      <c r="G46" s="13"/>
      <c r="H46" s="13"/>
      <c r="I46" s="13">
        <f t="shared" si="7"/>
        <v>2040</v>
      </c>
      <c r="J46" s="13">
        <f t="shared" si="2"/>
        <v>5472</v>
      </c>
      <c r="K46" s="13"/>
    </row>
    <row r="47" spans="1:11" ht="16.2" thickBot="1" x14ac:dyDescent="0.35">
      <c r="A47" s="17">
        <v>44</v>
      </c>
      <c r="B47" s="13" t="s">
        <v>1549</v>
      </c>
      <c r="C47" s="262"/>
      <c r="D47" s="13">
        <v>7512</v>
      </c>
      <c r="E47" s="13">
        <v>2040</v>
      </c>
      <c r="F47" s="13">
        <v>5472</v>
      </c>
      <c r="G47" s="13"/>
      <c r="H47" s="13"/>
      <c r="I47" s="13">
        <f t="shared" si="7"/>
        <v>7512</v>
      </c>
      <c r="J47" s="13">
        <f t="shared" si="2"/>
        <v>0</v>
      </c>
      <c r="K47" s="13" t="s">
        <v>1395</v>
      </c>
    </row>
    <row r="48" spans="1:11" ht="16.2" thickBot="1" x14ac:dyDescent="0.35">
      <c r="A48" s="17">
        <v>45</v>
      </c>
      <c r="B48" s="13" t="s">
        <v>1374</v>
      </c>
      <c r="C48" s="262"/>
      <c r="D48" s="13">
        <v>7512</v>
      </c>
      <c r="E48" s="13">
        <v>2040</v>
      </c>
      <c r="F48" s="13">
        <v>2000</v>
      </c>
      <c r="G48" s="13"/>
      <c r="H48" s="13"/>
      <c r="I48" s="13">
        <f t="shared" si="7"/>
        <v>4040</v>
      </c>
      <c r="J48" s="13">
        <f>D48-E48-F48-G48-H48</f>
        <v>3472</v>
      </c>
      <c r="K48" s="13"/>
    </row>
    <row r="49" spans="1:11" ht="16.2" thickBot="1" x14ac:dyDescent="0.35">
      <c r="A49" s="17">
        <v>46</v>
      </c>
      <c r="B49" s="13" t="s">
        <v>1739</v>
      </c>
      <c r="C49" s="262"/>
      <c r="D49" s="13">
        <v>7512</v>
      </c>
      <c r="E49" s="13">
        <v>1540</v>
      </c>
      <c r="F49" s="13">
        <v>5472</v>
      </c>
      <c r="G49" s="13"/>
      <c r="H49" s="13"/>
      <c r="I49" s="13">
        <f t="shared" si="7"/>
        <v>7012</v>
      </c>
      <c r="J49" s="13">
        <f>D49-E49-F49-G49-H49</f>
        <v>500</v>
      </c>
      <c r="K49" s="13"/>
    </row>
    <row r="50" spans="1:11" ht="16.2" thickBot="1" x14ac:dyDescent="0.35">
      <c r="A50" s="17">
        <v>47</v>
      </c>
      <c r="B50" s="133" t="s">
        <v>1534</v>
      </c>
      <c r="C50" s="7"/>
      <c r="D50" s="13">
        <v>7512</v>
      </c>
      <c r="E50" s="133">
        <v>2040</v>
      </c>
      <c r="F50" s="7"/>
      <c r="G50" s="7"/>
      <c r="H50" s="7"/>
      <c r="I50" s="133">
        <f t="shared" si="7"/>
        <v>2040</v>
      </c>
      <c r="J50" s="13">
        <f>D50-E50-F50-G50-H50</f>
        <v>5472</v>
      </c>
      <c r="K50" s="7"/>
    </row>
    <row r="51" spans="1:11" ht="16.2" thickBot="1" x14ac:dyDescent="0.35">
      <c r="A51" s="17">
        <v>48</v>
      </c>
      <c r="B51" s="13" t="s">
        <v>1496</v>
      </c>
      <c r="C51" s="262"/>
      <c r="D51" s="13">
        <v>7512</v>
      </c>
      <c r="E51" s="13">
        <v>2040</v>
      </c>
      <c r="F51" s="13">
        <v>1960</v>
      </c>
      <c r="G51" s="13">
        <v>5000</v>
      </c>
      <c r="H51" s="13"/>
      <c r="I51" s="13">
        <f t="shared" si="7"/>
        <v>9000</v>
      </c>
      <c r="J51" s="13">
        <f>D50-E50-F51-G51-H51</f>
        <v>-1488</v>
      </c>
      <c r="K51" s="13" t="s">
        <v>1395</v>
      </c>
    </row>
    <row r="52" spans="1:11" ht="16.2" thickBot="1" x14ac:dyDescent="0.35">
      <c r="A52" s="17">
        <v>49</v>
      </c>
      <c r="B52" s="13" t="s">
        <v>1412</v>
      </c>
      <c r="C52" s="261">
        <v>3513</v>
      </c>
      <c r="D52" s="13">
        <v>7512</v>
      </c>
      <c r="E52" s="13">
        <v>2040</v>
      </c>
      <c r="F52" s="13">
        <v>3800</v>
      </c>
      <c r="G52" s="13">
        <v>1672</v>
      </c>
      <c r="H52" s="13"/>
      <c r="I52" s="13">
        <f t="shared" si="7"/>
        <v>7512</v>
      </c>
      <c r="J52" s="13">
        <f>D51-E51-F52-G52-H52</f>
        <v>0</v>
      </c>
      <c r="K52" s="13" t="s">
        <v>1395</v>
      </c>
    </row>
    <row r="53" spans="1:11" ht="16.2" thickBot="1" x14ac:dyDescent="0.35">
      <c r="A53" s="17">
        <v>50</v>
      </c>
      <c r="B53" s="347" t="s">
        <v>1414</v>
      </c>
      <c r="C53" s="411"/>
      <c r="D53" s="347">
        <v>7512</v>
      </c>
      <c r="E53" s="347">
        <v>2040</v>
      </c>
      <c r="F53" s="347">
        <v>3000</v>
      </c>
      <c r="G53" s="347">
        <v>2472</v>
      </c>
      <c r="H53" s="347"/>
      <c r="I53" s="347">
        <f t="shared" si="7"/>
        <v>7512</v>
      </c>
      <c r="J53" s="347">
        <f>D52-E52-F53-G53-H53</f>
        <v>0</v>
      </c>
      <c r="K53" s="347" t="s">
        <v>1395</v>
      </c>
    </row>
    <row r="54" spans="1:11" ht="16.2" thickBot="1" x14ac:dyDescent="0.35">
      <c r="A54" s="17">
        <v>51</v>
      </c>
      <c r="B54" s="348" t="s">
        <v>1331</v>
      </c>
      <c r="C54" s="450"/>
      <c r="D54" s="348">
        <v>7512</v>
      </c>
      <c r="E54" s="348">
        <v>2040</v>
      </c>
      <c r="F54" s="348">
        <v>2000</v>
      </c>
      <c r="G54" s="348">
        <v>2000</v>
      </c>
      <c r="H54" s="348"/>
      <c r="I54" s="348">
        <f t="shared" si="7"/>
        <v>6040</v>
      </c>
      <c r="J54" s="348">
        <f>D54-E54-F54-G54-H54</f>
        <v>1472</v>
      </c>
      <c r="K54" s="348" t="s">
        <v>1395</v>
      </c>
    </row>
    <row r="55" spans="1:11" ht="16.2" thickBot="1" x14ac:dyDescent="0.35">
      <c r="A55" s="17">
        <v>52</v>
      </c>
      <c r="B55" s="348" t="s">
        <v>1610</v>
      </c>
      <c r="C55" s="412"/>
      <c r="D55" s="348">
        <v>7512</v>
      </c>
      <c r="E55" s="348">
        <v>2040</v>
      </c>
      <c r="F55" s="348">
        <v>2500</v>
      </c>
      <c r="G55" s="348"/>
      <c r="H55" s="348"/>
      <c r="I55" s="348">
        <f t="shared" si="7"/>
        <v>4540</v>
      </c>
      <c r="J55" s="348">
        <f>D54-E54-F55-G55-H55</f>
        <v>2972</v>
      </c>
      <c r="K55" s="13" t="s">
        <v>1395</v>
      </c>
    </row>
    <row r="56" spans="1:11" ht="16.2" thickBot="1" x14ac:dyDescent="0.35">
      <c r="A56" s="17">
        <v>53</v>
      </c>
      <c r="G56" s="75"/>
      <c r="H56" s="75"/>
      <c r="I56" s="274">
        <f t="shared" si="7"/>
        <v>0</v>
      </c>
      <c r="J56" s="348">
        <f>D359-E359-F359-G56-H56</f>
        <v>3032</v>
      </c>
      <c r="K56" s="75"/>
    </row>
    <row r="57" spans="1:11" ht="16.2" thickBot="1" x14ac:dyDescent="0.35">
      <c r="A57" s="17">
        <v>54</v>
      </c>
      <c r="B57" s="348" t="s">
        <v>1329</v>
      </c>
      <c r="C57" s="450"/>
      <c r="D57" s="348">
        <v>7512</v>
      </c>
      <c r="E57" s="348">
        <v>2040</v>
      </c>
      <c r="F57" s="348">
        <v>5000</v>
      </c>
      <c r="G57" s="348"/>
      <c r="H57" s="348"/>
      <c r="I57" s="348">
        <f t="shared" si="7"/>
        <v>7040</v>
      </c>
      <c r="J57" s="348">
        <f t="shared" ref="J57:J67" si="10">D57-E57-F57-G57-H57</f>
        <v>472</v>
      </c>
      <c r="K57" s="348" t="s">
        <v>1395</v>
      </c>
    </row>
    <row r="58" spans="1:11" ht="16.2" thickBot="1" x14ac:dyDescent="0.35">
      <c r="A58" s="17">
        <v>55</v>
      </c>
      <c r="B58" s="348" t="s">
        <v>1593</v>
      </c>
      <c r="C58" s="450"/>
      <c r="D58" s="348">
        <v>7512</v>
      </c>
      <c r="E58" s="348">
        <v>1990</v>
      </c>
      <c r="F58" s="348">
        <v>2000</v>
      </c>
      <c r="G58" s="348"/>
      <c r="H58" s="348"/>
      <c r="I58" s="348">
        <f t="shared" ref="I58" si="11">SUM(E58:H58)</f>
        <v>3990</v>
      </c>
      <c r="J58" s="348">
        <f t="shared" ref="J58" si="12">D58-E58-F58-G58-H58</f>
        <v>3522</v>
      </c>
      <c r="K58" s="348" t="s">
        <v>1395</v>
      </c>
    </row>
    <row r="59" spans="1:11" ht="16.2" thickBot="1" x14ac:dyDescent="0.35">
      <c r="A59" s="17">
        <v>56</v>
      </c>
      <c r="B59" s="348" t="s">
        <v>1506</v>
      </c>
      <c r="C59" s="412"/>
      <c r="D59" s="348">
        <v>7512</v>
      </c>
      <c r="E59" s="348">
        <v>2040</v>
      </c>
      <c r="F59" s="348"/>
      <c r="G59" s="348"/>
      <c r="H59" s="348"/>
      <c r="I59" s="348">
        <f t="shared" si="7"/>
        <v>2040</v>
      </c>
      <c r="J59" s="348">
        <f t="shared" si="10"/>
        <v>5472</v>
      </c>
      <c r="K59" s="348"/>
    </row>
    <row r="60" spans="1:11" ht="16.2" thickBot="1" x14ac:dyDescent="0.35">
      <c r="A60" s="17">
        <v>57</v>
      </c>
      <c r="B60" s="448" t="s">
        <v>1321</v>
      </c>
      <c r="C60" s="450"/>
      <c r="D60" s="348">
        <v>7512</v>
      </c>
      <c r="E60" s="348">
        <v>2040</v>
      </c>
      <c r="F60" s="348">
        <v>2960</v>
      </c>
      <c r="G60" s="348">
        <v>2512</v>
      </c>
      <c r="H60" s="348"/>
      <c r="I60" s="348">
        <f t="shared" si="7"/>
        <v>7512</v>
      </c>
      <c r="J60" s="348">
        <f t="shared" si="10"/>
        <v>0</v>
      </c>
      <c r="K60" s="348" t="s">
        <v>1395</v>
      </c>
    </row>
    <row r="61" spans="1:11" ht="16.2" thickBot="1" x14ac:dyDescent="0.35">
      <c r="A61" s="17">
        <v>58</v>
      </c>
      <c r="B61" s="348" t="s">
        <v>1402</v>
      </c>
      <c r="C61" s="412"/>
      <c r="D61" s="348">
        <v>7512</v>
      </c>
      <c r="E61" s="348">
        <v>2040</v>
      </c>
      <c r="F61" s="348">
        <v>1960</v>
      </c>
      <c r="G61" s="348">
        <v>3512</v>
      </c>
      <c r="H61" s="348"/>
      <c r="I61" s="348">
        <f t="shared" si="7"/>
        <v>7512</v>
      </c>
      <c r="J61" s="348">
        <f t="shared" si="10"/>
        <v>0</v>
      </c>
      <c r="K61" s="348" t="s">
        <v>1395</v>
      </c>
    </row>
    <row r="62" spans="1:11" ht="16.2" thickBot="1" x14ac:dyDescent="0.35">
      <c r="A62" s="17">
        <v>59</v>
      </c>
      <c r="B62" s="448" t="s">
        <v>1444</v>
      </c>
      <c r="C62" s="450"/>
      <c r="D62" s="348">
        <v>7512</v>
      </c>
      <c r="E62" s="348">
        <v>1850</v>
      </c>
      <c r="F62" s="348">
        <v>1000</v>
      </c>
      <c r="G62" s="348">
        <v>3000</v>
      </c>
      <c r="H62" s="348"/>
      <c r="I62" s="348">
        <f t="shared" si="7"/>
        <v>5850</v>
      </c>
      <c r="J62" s="348">
        <f t="shared" si="10"/>
        <v>1662</v>
      </c>
      <c r="K62" s="348"/>
    </row>
    <row r="63" spans="1:11" ht="16.2" thickBot="1" x14ac:dyDescent="0.35">
      <c r="A63" s="17">
        <v>60</v>
      </c>
      <c r="B63" s="448" t="s">
        <v>1707</v>
      </c>
      <c r="C63" s="450"/>
      <c r="D63" s="348">
        <v>7512</v>
      </c>
      <c r="E63" s="348">
        <v>3000</v>
      </c>
      <c r="F63" s="348"/>
      <c r="G63" s="348"/>
      <c r="H63" s="348"/>
      <c r="I63" s="348">
        <v>3000</v>
      </c>
      <c r="J63" s="348"/>
      <c r="K63" s="348"/>
    </row>
    <row r="64" spans="1:11" ht="16.2" thickBot="1" x14ac:dyDescent="0.35">
      <c r="A64" s="17">
        <v>61</v>
      </c>
      <c r="B64" s="448" t="s">
        <v>1594</v>
      </c>
      <c r="C64" s="450"/>
      <c r="D64" s="348">
        <v>7512</v>
      </c>
      <c r="E64" s="348">
        <v>5040</v>
      </c>
      <c r="F64" s="348">
        <v>2000</v>
      </c>
      <c r="G64" s="348"/>
      <c r="H64" s="348"/>
      <c r="I64" s="348">
        <f t="shared" ref="I64" si="13">SUM(E64:H64)</f>
        <v>7040</v>
      </c>
      <c r="J64" s="348">
        <f t="shared" ref="J64" si="14">D64-E64-F64-G64-H64</f>
        <v>472</v>
      </c>
      <c r="K64" s="348" t="s">
        <v>1395</v>
      </c>
    </row>
    <row r="65" spans="1:11" ht="16.2" thickBot="1" x14ac:dyDescent="0.35">
      <c r="A65" s="17">
        <v>62</v>
      </c>
      <c r="B65" s="448" t="s">
        <v>1401</v>
      </c>
      <c r="C65" s="412"/>
      <c r="D65" s="348">
        <v>7512</v>
      </c>
      <c r="E65" s="348">
        <v>2040</v>
      </c>
      <c r="F65" s="348">
        <v>1960</v>
      </c>
      <c r="G65" s="348">
        <v>3000</v>
      </c>
      <c r="H65" s="348"/>
      <c r="I65" s="348">
        <f t="shared" si="7"/>
        <v>7000</v>
      </c>
      <c r="J65" s="348">
        <f t="shared" si="10"/>
        <v>512</v>
      </c>
      <c r="K65" s="348"/>
    </row>
    <row r="66" spans="1:11" ht="16.2" thickBot="1" x14ac:dyDescent="0.35">
      <c r="A66" s="17">
        <v>63</v>
      </c>
      <c r="B66" s="449" t="s">
        <v>1376</v>
      </c>
      <c r="C66" s="412"/>
      <c r="D66" s="348">
        <v>7512</v>
      </c>
      <c r="E66" s="348">
        <v>2540</v>
      </c>
      <c r="F66" s="348">
        <v>2500</v>
      </c>
      <c r="G66" s="348">
        <v>2472</v>
      </c>
      <c r="H66" s="348"/>
      <c r="I66" s="348">
        <f t="shared" si="7"/>
        <v>7512</v>
      </c>
      <c r="J66" s="348">
        <f t="shared" si="10"/>
        <v>0</v>
      </c>
      <c r="K66" s="348" t="s">
        <v>1723</v>
      </c>
    </row>
    <row r="67" spans="1:11" ht="16.2" thickBot="1" x14ac:dyDescent="0.35">
      <c r="A67" s="17">
        <v>64</v>
      </c>
      <c r="B67" s="348" t="s">
        <v>1397</v>
      </c>
      <c r="C67" s="450"/>
      <c r="D67" s="348">
        <v>7512</v>
      </c>
      <c r="E67" s="348">
        <v>2040</v>
      </c>
      <c r="F67" s="348">
        <v>5472</v>
      </c>
      <c r="G67" s="348"/>
      <c r="H67" s="348"/>
      <c r="I67" s="348">
        <f t="shared" si="7"/>
        <v>7512</v>
      </c>
      <c r="J67" s="348">
        <f t="shared" si="10"/>
        <v>0</v>
      </c>
      <c r="K67" s="348" t="s">
        <v>1395</v>
      </c>
    </row>
    <row r="68" spans="1:11" x14ac:dyDescent="0.3">
      <c r="D68" s="509">
        <f t="shared" ref="D68:J68" si="15">SUM(D4:D67)</f>
        <v>471216</v>
      </c>
      <c r="E68" s="509">
        <f t="shared" si="15"/>
        <v>150562</v>
      </c>
      <c r="F68" s="509">
        <f t="shared" si="15"/>
        <v>133004</v>
      </c>
      <c r="G68" s="509">
        <f t="shared" si="15"/>
        <v>49166</v>
      </c>
      <c r="H68" s="509">
        <f t="shared" si="15"/>
        <v>2823</v>
      </c>
      <c r="I68" s="509">
        <f t="shared" si="15"/>
        <v>335555</v>
      </c>
      <c r="J68" s="509">
        <f t="shared" si="15"/>
        <v>134181</v>
      </c>
    </row>
    <row r="69" spans="1:11" ht="15" thickBot="1" x14ac:dyDescent="0.35"/>
    <row r="70" spans="1:11" ht="16.2" thickBot="1" x14ac:dyDescent="0.35">
      <c r="A70" s="5" t="s">
        <v>1305</v>
      </c>
      <c r="B70" s="4"/>
      <c r="C70" s="6"/>
      <c r="D70" s="6"/>
      <c r="E70" s="6"/>
      <c r="F70" s="6"/>
      <c r="G70" s="6"/>
      <c r="H70" s="6"/>
      <c r="I70" s="6"/>
      <c r="J70" s="6"/>
      <c r="K70" s="7"/>
    </row>
    <row r="71" spans="1:11" ht="16.2" thickBot="1" x14ac:dyDescent="0.35">
      <c r="A71" s="5"/>
      <c r="B71" s="4"/>
      <c r="C71" s="6"/>
      <c r="D71" s="6"/>
      <c r="E71" s="6"/>
      <c r="F71" s="6"/>
      <c r="G71" s="6"/>
      <c r="H71" s="6"/>
      <c r="I71" s="6"/>
      <c r="J71" s="6"/>
      <c r="K71" s="7"/>
    </row>
    <row r="72" spans="1:11" ht="27.6" thickBot="1" x14ac:dyDescent="0.35">
      <c r="A72" s="16" t="s">
        <v>0</v>
      </c>
      <c r="B72" s="8" t="s">
        <v>1</v>
      </c>
      <c r="C72" s="16" t="s">
        <v>2</v>
      </c>
      <c r="D72" s="69" t="s">
        <v>854</v>
      </c>
      <c r="E72" s="580" t="s">
        <v>855</v>
      </c>
      <c r="F72" s="581"/>
      <c r="G72" s="581"/>
      <c r="H72" s="582"/>
      <c r="I72" s="111"/>
      <c r="J72" s="70" t="s">
        <v>856</v>
      </c>
      <c r="K72" s="8" t="s">
        <v>3</v>
      </c>
    </row>
    <row r="73" spans="1:11" ht="16.2" thickBot="1" x14ac:dyDescent="0.35">
      <c r="A73" s="17">
        <v>1</v>
      </c>
      <c r="B73" s="560" t="s">
        <v>440</v>
      </c>
      <c r="C73" s="561">
        <v>2827</v>
      </c>
      <c r="D73" s="562">
        <v>5784</v>
      </c>
      <c r="E73" s="562"/>
      <c r="F73" s="562"/>
      <c r="G73" s="562"/>
      <c r="H73" s="562"/>
      <c r="I73" s="562">
        <f t="shared" ref="I73:I136" si="16">SUM(E73:H73)</f>
        <v>0</v>
      </c>
      <c r="J73" s="562">
        <f t="shared" ref="J73:J104" si="17">D73-E73-F73-G73-H73</f>
        <v>5784</v>
      </c>
      <c r="K73" s="562" t="s">
        <v>1736</v>
      </c>
    </row>
    <row r="74" spans="1:11" ht="16.2" thickBot="1" x14ac:dyDescent="0.35">
      <c r="A74" s="17">
        <v>2</v>
      </c>
      <c r="B74" s="13" t="s">
        <v>405</v>
      </c>
      <c r="C74" s="261">
        <v>2828</v>
      </c>
      <c r="D74" s="13">
        <v>5784</v>
      </c>
      <c r="E74" s="13">
        <v>3600</v>
      </c>
      <c r="F74" s="13">
        <v>2000</v>
      </c>
      <c r="G74" s="13"/>
      <c r="H74" s="13"/>
      <c r="I74" s="13">
        <f t="shared" si="16"/>
        <v>5600</v>
      </c>
      <c r="J74" s="13">
        <f t="shared" si="17"/>
        <v>184</v>
      </c>
      <c r="K74" s="13" t="s">
        <v>1395</v>
      </c>
    </row>
    <row r="75" spans="1:11" ht="16.2" thickBot="1" x14ac:dyDescent="0.35">
      <c r="A75" s="17">
        <v>3</v>
      </c>
      <c r="B75" s="13" t="s">
        <v>786</v>
      </c>
      <c r="C75" s="262"/>
      <c r="D75" s="13">
        <v>5784</v>
      </c>
      <c r="E75" s="13">
        <v>4000</v>
      </c>
      <c r="F75" s="13">
        <v>700</v>
      </c>
      <c r="G75" s="13"/>
      <c r="H75" s="13"/>
      <c r="I75" s="13">
        <f t="shared" si="16"/>
        <v>4700</v>
      </c>
      <c r="J75" s="13">
        <f t="shared" si="17"/>
        <v>1084</v>
      </c>
      <c r="K75" s="13" t="s">
        <v>1395</v>
      </c>
    </row>
    <row r="76" spans="1:11" ht="16.2" thickBot="1" x14ac:dyDescent="0.35">
      <c r="A76" s="17">
        <v>4</v>
      </c>
      <c r="B76" s="13" t="s">
        <v>399</v>
      </c>
      <c r="C76" s="261"/>
      <c r="D76" s="13">
        <v>5784</v>
      </c>
      <c r="E76" s="13">
        <v>4000</v>
      </c>
      <c r="F76" s="13">
        <v>1785</v>
      </c>
      <c r="G76" s="13"/>
      <c r="H76" s="13"/>
      <c r="I76" s="13" t="s">
        <v>1755</v>
      </c>
      <c r="J76" s="13">
        <f t="shared" si="17"/>
        <v>-1</v>
      </c>
      <c r="K76" s="13" t="s">
        <v>1395</v>
      </c>
    </row>
    <row r="77" spans="1:11" ht="16.2" thickBot="1" x14ac:dyDescent="0.35">
      <c r="A77" s="17">
        <v>5</v>
      </c>
      <c r="B77" s="13" t="s">
        <v>417</v>
      </c>
      <c r="C77" s="261">
        <v>2831</v>
      </c>
      <c r="D77" s="13">
        <v>5784</v>
      </c>
      <c r="E77" s="13">
        <v>2000</v>
      </c>
      <c r="F77" s="13"/>
      <c r="G77" s="13"/>
      <c r="H77" s="13"/>
      <c r="I77" s="13">
        <f t="shared" si="16"/>
        <v>2000</v>
      </c>
      <c r="J77" s="13">
        <f t="shared" si="17"/>
        <v>3784</v>
      </c>
      <c r="K77" s="6" t="s">
        <v>1395</v>
      </c>
    </row>
    <row r="78" spans="1:11" ht="16.2" thickBot="1" x14ac:dyDescent="0.35">
      <c r="A78" s="17">
        <v>6</v>
      </c>
      <c r="B78" s="13" t="s">
        <v>409</v>
      </c>
      <c r="C78" s="261">
        <v>2832</v>
      </c>
      <c r="D78" s="13">
        <v>5784</v>
      </c>
      <c r="E78" s="13"/>
      <c r="F78" s="13"/>
      <c r="G78" s="13"/>
      <c r="H78" s="13"/>
      <c r="I78" s="13">
        <f t="shared" si="16"/>
        <v>0</v>
      </c>
      <c r="J78" s="13">
        <f t="shared" si="17"/>
        <v>5784</v>
      </c>
      <c r="K78" s="13"/>
    </row>
    <row r="79" spans="1:11" ht="16.2" thickBot="1" x14ac:dyDescent="0.35">
      <c r="A79" s="17">
        <v>7</v>
      </c>
      <c r="B79" s="260" t="s">
        <v>415</v>
      </c>
      <c r="C79" s="262">
        <v>2834</v>
      </c>
      <c r="D79" s="13">
        <v>5784</v>
      </c>
      <c r="E79" s="13">
        <v>3000</v>
      </c>
      <c r="F79" s="13">
        <v>1060</v>
      </c>
      <c r="G79" s="13"/>
      <c r="H79" s="13"/>
      <c r="I79" s="13">
        <f t="shared" si="16"/>
        <v>4060</v>
      </c>
      <c r="J79" s="13">
        <f t="shared" si="17"/>
        <v>1724</v>
      </c>
      <c r="K79" s="13" t="s">
        <v>1395</v>
      </c>
    </row>
    <row r="80" spans="1:11" ht="16.2" thickBot="1" x14ac:dyDescent="0.35">
      <c r="A80" s="17">
        <v>8</v>
      </c>
      <c r="B80" s="260" t="s">
        <v>396</v>
      </c>
      <c r="C80" s="262"/>
      <c r="D80" s="13">
        <v>5784</v>
      </c>
      <c r="E80" s="13">
        <v>1000</v>
      </c>
      <c r="F80" s="13">
        <v>2000</v>
      </c>
      <c r="G80" s="13">
        <v>2500</v>
      </c>
      <c r="H80" s="13">
        <v>284</v>
      </c>
      <c r="I80" s="13">
        <f t="shared" si="16"/>
        <v>5784</v>
      </c>
      <c r="J80" s="13">
        <f t="shared" si="17"/>
        <v>0</v>
      </c>
      <c r="K80" s="13" t="s">
        <v>1395</v>
      </c>
    </row>
    <row r="81" spans="1:12" ht="16.2" thickBot="1" x14ac:dyDescent="0.35">
      <c r="A81" s="17">
        <v>9</v>
      </c>
      <c r="B81" s="13" t="s">
        <v>429</v>
      </c>
      <c r="C81" s="261">
        <v>2837</v>
      </c>
      <c r="D81" s="13">
        <v>5784</v>
      </c>
      <c r="E81" s="13"/>
      <c r="F81" s="13"/>
      <c r="G81" s="13"/>
      <c r="H81" s="13"/>
      <c r="I81" s="13">
        <f t="shared" si="16"/>
        <v>0</v>
      </c>
      <c r="J81" s="13">
        <f t="shared" si="17"/>
        <v>5784</v>
      </c>
      <c r="K81" s="13"/>
    </row>
    <row r="82" spans="1:12" ht="16.2" thickBot="1" x14ac:dyDescent="0.35">
      <c r="A82" s="17">
        <v>10</v>
      </c>
      <c r="B82" s="13" t="s">
        <v>787</v>
      </c>
      <c r="C82" s="262"/>
      <c r="D82" s="13">
        <v>5784</v>
      </c>
      <c r="E82" s="13">
        <v>5784</v>
      </c>
      <c r="F82" s="13"/>
      <c r="G82" s="13"/>
      <c r="H82" s="13"/>
      <c r="I82" s="13">
        <f t="shared" si="16"/>
        <v>5784</v>
      </c>
      <c r="J82" s="13">
        <f t="shared" si="17"/>
        <v>0</v>
      </c>
      <c r="K82" s="13" t="s">
        <v>1395</v>
      </c>
    </row>
    <row r="83" spans="1:12" ht="16.2" thickBot="1" x14ac:dyDescent="0.35">
      <c r="A83" s="17">
        <v>11</v>
      </c>
      <c r="B83" s="20" t="s">
        <v>1672</v>
      </c>
      <c r="C83" s="262"/>
      <c r="D83" s="13">
        <v>5784</v>
      </c>
      <c r="E83" s="13">
        <v>2000</v>
      </c>
      <c r="F83" s="13"/>
      <c r="G83" s="13"/>
      <c r="H83" s="13"/>
      <c r="I83" s="13">
        <f t="shared" si="16"/>
        <v>2000</v>
      </c>
      <c r="J83" s="13">
        <f t="shared" si="17"/>
        <v>3784</v>
      </c>
      <c r="K83" s="13"/>
    </row>
    <row r="84" spans="1:12" ht="16.2" thickBot="1" x14ac:dyDescent="0.35">
      <c r="A84" s="17">
        <v>12</v>
      </c>
      <c r="B84" s="13" t="s">
        <v>788</v>
      </c>
      <c r="C84" s="262"/>
      <c r="D84" s="13">
        <v>5784</v>
      </c>
      <c r="E84" s="13">
        <v>2000</v>
      </c>
      <c r="F84" s="13">
        <v>750</v>
      </c>
      <c r="G84" s="13"/>
      <c r="H84" s="13"/>
      <c r="I84" s="13">
        <f t="shared" si="16"/>
        <v>2750</v>
      </c>
      <c r="J84" s="13">
        <f t="shared" si="17"/>
        <v>3034</v>
      </c>
      <c r="K84" s="13" t="s">
        <v>1395</v>
      </c>
    </row>
    <row r="85" spans="1:12" ht="16.2" thickBot="1" x14ac:dyDescent="0.35">
      <c r="A85" s="17">
        <v>13</v>
      </c>
      <c r="B85" s="20" t="s">
        <v>395</v>
      </c>
      <c r="C85" s="262"/>
      <c r="D85" s="13">
        <v>5784</v>
      </c>
      <c r="E85" s="13">
        <v>5784</v>
      </c>
      <c r="F85" s="13"/>
      <c r="G85" s="13"/>
      <c r="H85" s="13"/>
      <c r="I85" s="13">
        <f t="shared" si="16"/>
        <v>5784</v>
      </c>
      <c r="J85" s="13">
        <f t="shared" si="17"/>
        <v>0</v>
      </c>
      <c r="K85" s="13" t="s">
        <v>1395</v>
      </c>
    </row>
    <row r="86" spans="1:12" ht="16.2" thickBot="1" x14ac:dyDescent="0.35">
      <c r="A86" s="17">
        <v>14</v>
      </c>
      <c r="B86" s="13" t="s">
        <v>438</v>
      </c>
      <c r="C86" s="261">
        <v>3196</v>
      </c>
      <c r="D86" s="13">
        <v>5784</v>
      </c>
      <c r="E86" s="13">
        <v>2000</v>
      </c>
      <c r="F86" s="13"/>
      <c r="G86" s="13"/>
      <c r="H86" s="13"/>
      <c r="I86" s="13">
        <f t="shared" si="16"/>
        <v>2000</v>
      </c>
      <c r="J86" s="13">
        <f t="shared" si="17"/>
        <v>3784</v>
      </c>
      <c r="K86" s="13"/>
    </row>
    <row r="87" spans="1:12" ht="16.2" thickBot="1" x14ac:dyDescent="0.35">
      <c r="A87" s="17">
        <v>15</v>
      </c>
      <c r="B87" s="13" t="s">
        <v>693</v>
      </c>
      <c r="C87" s="262">
        <v>3194</v>
      </c>
      <c r="D87" s="13">
        <v>5784</v>
      </c>
      <c r="E87" s="13"/>
      <c r="F87" s="13"/>
      <c r="G87" s="13"/>
      <c r="H87" s="13"/>
      <c r="I87" s="13">
        <f t="shared" si="16"/>
        <v>0</v>
      </c>
      <c r="J87" s="13">
        <f t="shared" si="17"/>
        <v>5784</v>
      </c>
      <c r="K87" s="13"/>
    </row>
    <row r="88" spans="1:12" ht="16.2" thickBot="1" x14ac:dyDescent="0.35">
      <c r="A88" s="17">
        <v>16</v>
      </c>
      <c r="B88" s="13" t="s">
        <v>789</v>
      </c>
      <c r="C88" s="262"/>
      <c r="D88" s="13">
        <v>5784</v>
      </c>
      <c r="E88" s="13">
        <v>2500</v>
      </c>
      <c r="F88" s="13"/>
      <c r="G88" s="13"/>
      <c r="H88" s="13"/>
      <c r="I88" s="13">
        <f t="shared" si="16"/>
        <v>2500</v>
      </c>
      <c r="J88" s="13">
        <f t="shared" si="17"/>
        <v>3284</v>
      </c>
      <c r="K88" s="351" t="s">
        <v>1395</v>
      </c>
    </row>
    <row r="89" spans="1:12" ht="16.2" thickBot="1" x14ac:dyDescent="0.35">
      <c r="A89" s="17">
        <v>17</v>
      </c>
      <c r="B89" s="562" t="s">
        <v>436</v>
      </c>
      <c r="C89" s="561">
        <v>4028</v>
      </c>
      <c r="D89" s="562">
        <v>5784</v>
      </c>
      <c r="E89" s="562"/>
      <c r="F89" s="562"/>
      <c r="G89" s="562"/>
      <c r="H89" s="562"/>
      <c r="I89" s="562">
        <f t="shared" si="16"/>
        <v>0</v>
      </c>
      <c r="J89" s="562">
        <f t="shared" si="17"/>
        <v>5784</v>
      </c>
      <c r="K89" s="562" t="s">
        <v>1736</v>
      </c>
    </row>
    <row r="90" spans="1:12" ht="16.2" thickBot="1" x14ac:dyDescent="0.35">
      <c r="A90" s="17">
        <v>18</v>
      </c>
      <c r="B90" s="260" t="s">
        <v>393</v>
      </c>
      <c r="C90" s="261"/>
      <c r="D90" s="13">
        <v>5784</v>
      </c>
      <c r="E90" s="13"/>
      <c r="F90" s="13"/>
      <c r="G90" s="13"/>
      <c r="H90" s="13"/>
      <c r="I90" s="13">
        <f t="shared" si="16"/>
        <v>0</v>
      </c>
      <c r="J90" s="13">
        <f t="shared" si="17"/>
        <v>5784</v>
      </c>
      <c r="K90" s="13"/>
      <c r="L90" s="531" t="s">
        <v>1725</v>
      </c>
    </row>
    <row r="91" spans="1:12" ht="16.2" thickBot="1" x14ac:dyDescent="0.35">
      <c r="A91" s="17">
        <v>19</v>
      </c>
      <c r="B91" s="260" t="s">
        <v>397</v>
      </c>
      <c r="C91" s="262"/>
      <c r="D91" s="13">
        <v>5784</v>
      </c>
      <c r="E91" s="13">
        <v>3000</v>
      </c>
      <c r="F91" s="13"/>
      <c r="G91" s="13"/>
      <c r="H91" s="13"/>
      <c r="I91" s="13">
        <f t="shared" si="16"/>
        <v>3000</v>
      </c>
      <c r="J91" s="13">
        <f t="shared" si="17"/>
        <v>2784</v>
      </c>
      <c r="K91" s="13" t="s">
        <v>1395</v>
      </c>
    </row>
    <row r="92" spans="1:12" ht="16.2" thickBot="1" x14ac:dyDescent="0.35">
      <c r="A92" s="17">
        <v>20</v>
      </c>
      <c r="B92" s="13" t="s">
        <v>790</v>
      </c>
      <c r="C92" s="262"/>
      <c r="D92" s="13">
        <v>5784</v>
      </c>
      <c r="E92" s="13">
        <v>3000</v>
      </c>
      <c r="F92" s="13">
        <v>2784</v>
      </c>
      <c r="G92" s="13"/>
      <c r="H92" s="13"/>
      <c r="I92" s="13">
        <f t="shared" si="16"/>
        <v>5784</v>
      </c>
      <c r="J92" s="13">
        <f t="shared" si="17"/>
        <v>0</v>
      </c>
      <c r="K92" s="13" t="s">
        <v>1723</v>
      </c>
    </row>
    <row r="93" spans="1:12" ht="16.2" thickBot="1" x14ac:dyDescent="0.35">
      <c r="A93" s="17">
        <v>21</v>
      </c>
      <c r="B93" s="13" t="s">
        <v>791</v>
      </c>
      <c r="C93" s="262"/>
      <c r="D93" s="13">
        <v>5784</v>
      </c>
      <c r="E93" s="13"/>
      <c r="F93" s="13"/>
      <c r="G93" s="13"/>
      <c r="H93" s="13"/>
      <c r="I93" s="13">
        <f t="shared" si="16"/>
        <v>0</v>
      </c>
      <c r="J93" s="13">
        <f t="shared" si="17"/>
        <v>5784</v>
      </c>
      <c r="K93" s="13"/>
    </row>
    <row r="94" spans="1:12" ht="16.2" thickBot="1" x14ac:dyDescent="0.35">
      <c r="A94" s="17">
        <v>22</v>
      </c>
      <c r="B94" s="260" t="s">
        <v>392</v>
      </c>
      <c r="C94" s="262"/>
      <c r="D94" s="13">
        <v>5784</v>
      </c>
      <c r="E94" s="13">
        <v>2000</v>
      </c>
      <c r="F94" s="13"/>
      <c r="G94" s="13"/>
      <c r="H94" s="13"/>
      <c r="I94" s="13">
        <f t="shared" si="16"/>
        <v>2000</v>
      </c>
      <c r="J94" s="13">
        <f t="shared" si="17"/>
        <v>3784</v>
      </c>
      <c r="K94" s="6" t="s">
        <v>1395</v>
      </c>
    </row>
    <row r="95" spans="1:12" ht="16.2" thickBot="1" x14ac:dyDescent="0.35">
      <c r="A95" s="17">
        <v>23</v>
      </c>
      <c r="B95" s="13" t="s">
        <v>792</v>
      </c>
      <c r="C95" s="262"/>
      <c r="D95" s="13">
        <v>5784</v>
      </c>
      <c r="E95" s="13">
        <v>2000</v>
      </c>
      <c r="F95" s="13"/>
      <c r="G95" s="13"/>
      <c r="H95" s="13"/>
      <c r="I95" s="13">
        <f t="shared" si="16"/>
        <v>2000</v>
      </c>
      <c r="J95" s="13">
        <f t="shared" si="17"/>
        <v>3784</v>
      </c>
      <c r="K95" s="13"/>
    </row>
    <row r="96" spans="1:12" ht="16.2" thickBot="1" x14ac:dyDescent="0.35">
      <c r="A96" s="17">
        <v>24</v>
      </c>
      <c r="B96" s="13" t="s">
        <v>431</v>
      </c>
      <c r="C96" s="261">
        <v>3197</v>
      </c>
      <c r="D96" s="13">
        <v>5784</v>
      </c>
      <c r="E96" s="13"/>
      <c r="F96" s="13"/>
      <c r="G96" s="13"/>
      <c r="H96" s="13"/>
      <c r="I96" s="13">
        <f t="shared" si="16"/>
        <v>0</v>
      </c>
      <c r="J96" s="13">
        <f t="shared" si="17"/>
        <v>5784</v>
      </c>
      <c r="K96" s="13"/>
    </row>
    <row r="97" spans="1:11" ht="16.2" thickBot="1" x14ac:dyDescent="0.35">
      <c r="A97" s="17">
        <v>25</v>
      </c>
      <c r="B97" s="13" t="s">
        <v>663</v>
      </c>
      <c r="C97" s="262">
        <v>2847</v>
      </c>
      <c r="D97" s="13">
        <v>5784</v>
      </c>
      <c r="E97" s="13"/>
      <c r="F97" s="13"/>
      <c r="G97" s="13"/>
      <c r="H97" s="13"/>
      <c r="I97" s="13">
        <f t="shared" si="16"/>
        <v>0</v>
      </c>
      <c r="J97" s="13">
        <f t="shared" si="17"/>
        <v>5784</v>
      </c>
      <c r="K97" s="451" t="s">
        <v>1556</v>
      </c>
    </row>
    <row r="98" spans="1:11" ht="16.2" thickBot="1" x14ac:dyDescent="0.35">
      <c r="A98" s="17">
        <v>26</v>
      </c>
      <c r="B98" s="13" t="s">
        <v>793</v>
      </c>
      <c r="C98" s="262"/>
      <c r="D98" s="13">
        <v>5784</v>
      </c>
      <c r="E98" s="13">
        <v>2000</v>
      </c>
      <c r="F98" s="13">
        <v>2000</v>
      </c>
      <c r="G98" s="13">
        <v>1784</v>
      </c>
      <c r="H98" s="13"/>
      <c r="I98" s="13">
        <f t="shared" si="16"/>
        <v>5784</v>
      </c>
      <c r="J98" s="13">
        <f t="shared" si="17"/>
        <v>0</v>
      </c>
      <c r="K98" s="13" t="s">
        <v>1395</v>
      </c>
    </row>
    <row r="99" spans="1:11" ht="16.2" thickBot="1" x14ac:dyDescent="0.35">
      <c r="A99" s="17">
        <v>27</v>
      </c>
      <c r="B99" s="13" t="s">
        <v>794</v>
      </c>
      <c r="C99" s="262"/>
      <c r="D99" s="13">
        <v>5784</v>
      </c>
      <c r="E99" s="13">
        <v>2000</v>
      </c>
      <c r="F99" s="13"/>
      <c r="G99" s="13"/>
      <c r="H99" s="13"/>
      <c r="I99" s="13">
        <f t="shared" si="16"/>
        <v>2000</v>
      </c>
      <c r="J99" s="13">
        <f t="shared" si="17"/>
        <v>3784</v>
      </c>
      <c r="K99" s="13" t="s">
        <v>1395</v>
      </c>
    </row>
    <row r="100" spans="1:11" ht="16.2" thickBot="1" x14ac:dyDescent="0.35">
      <c r="A100" s="17">
        <v>29</v>
      </c>
      <c r="B100" s="13" t="s">
        <v>795</v>
      </c>
      <c r="C100" s="262"/>
      <c r="D100" s="13">
        <v>5784</v>
      </c>
      <c r="E100" s="13">
        <v>3000</v>
      </c>
      <c r="F100" s="13">
        <v>1000</v>
      </c>
      <c r="G100" s="13"/>
      <c r="H100" s="13"/>
      <c r="I100" s="13">
        <f t="shared" si="16"/>
        <v>4000</v>
      </c>
      <c r="J100" s="13">
        <f t="shared" si="17"/>
        <v>1784</v>
      </c>
      <c r="K100" s="13" t="s">
        <v>1395</v>
      </c>
    </row>
    <row r="101" spans="1:11" ht="16.2" thickBot="1" x14ac:dyDescent="0.35">
      <c r="A101" s="17">
        <v>30</v>
      </c>
      <c r="B101" s="13" t="s">
        <v>796</v>
      </c>
      <c r="C101" s="262"/>
      <c r="D101" s="13">
        <v>5784</v>
      </c>
      <c r="E101" s="13"/>
      <c r="F101" s="13"/>
      <c r="G101" s="13"/>
      <c r="H101" s="13"/>
      <c r="I101" s="13">
        <f t="shared" si="16"/>
        <v>0</v>
      </c>
      <c r="J101" s="13">
        <f t="shared" si="17"/>
        <v>5784</v>
      </c>
      <c r="K101" s="13" t="s">
        <v>1395</v>
      </c>
    </row>
    <row r="102" spans="1:11" ht="16.2" thickBot="1" x14ac:dyDescent="0.35">
      <c r="A102" s="17">
        <v>31</v>
      </c>
      <c r="B102" s="13" t="s">
        <v>797</v>
      </c>
      <c r="C102" s="262">
        <v>3229</v>
      </c>
      <c r="D102" s="13">
        <v>5784</v>
      </c>
      <c r="E102" s="13">
        <v>2200</v>
      </c>
      <c r="F102" s="13"/>
      <c r="G102" s="13"/>
      <c r="H102" s="13"/>
      <c r="I102" s="13">
        <f t="shared" si="16"/>
        <v>2200</v>
      </c>
      <c r="J102" s="13">
        <f t="shared" si="17"/>
        <v>3584</v>
      </c>
      <c r="K102" s="351" t="s">
        <v>1395</v>
      </c>
    </row>
    <row r="103" spans="1:11" ht="16.2" thickBot="1" x14ac:dyDescent="0.35">
      <c r="A103" s="17">
        <v>32</v>
      </c>
      <c r="B103" s="260" t="s">
        <v>408</v>
      </c>
      <c r="C103" s="261">
        <v>2842</v>
      </c>
      <c r="D103" s="13">
        <v>5784</v>
      </c>
      <c r="E103" s="13"/>
      <c r="F103" s="13"/>
      <c r="G103" s="13"/>
      <c r="H103" s="13"/>
      <c r="I103" s="13">
        <f t="shared" si="16"/>
        <v>0</v>
      </c>
      <c r="J103" s="13">
        <f t="shared" si="17"/>
        <v>5784</v>
      </c>
      <c r="K103" s="13"/>
    </row>
    <row r="104" spans="1:11" ht="16.2" thickBot="1" x14ac:dyDescent="0.35">
      <c r="A104" s="17">
        <v>33</v>
      </c>
      <c r="B104" s="13" t="s">
        <v>420</v>
      </c>
      <c r="C104" s="261">
        <v>2850</v>
      </c>
      <c r="D104" s="13">
        <v>5784</v>
      </c>
      <c r="E104" s="13">
        <v>2500</v>
      </c>
      <c r="F104" s="13"/>
      <c r="G104" s="13"/>
      <c r="H104" s="13"/>
      <c r="I104" s="13">
        <f t="shared" si="16"/>
        <v>2500</v>
      </c>
      <c r="J104" s="13">
        <f t="shared" si="17"/>
        <v>3284</v>
      </c>
      <c r="K104" s="13" t="s">
        <v>1395</v>
      </c>
    </row>
    <row r="105" spans="1:11" ht="16.2" thickBot="1" x14ac:dyDescent="0.35">
      <c r="A105" s="17">
        <v>34</v>
      </c>
      <c r="B105" s="13" t="s">
        <v>439</v>
      </c>
      <c r="C105" s="261">
        <v>2918</v>
      </c>
      <c r="D105" s="13">
        <v>5784</v>
      </c>
      <c r="E105" s="13">
        <v>2000</v>
      </c>
      <c r="F105" s="13"/>
      <c r="G105" s="13"/>
      <c r="H105" s="13"/>
      <c r="I105" s="13">
        <f t="shared" si="16"/>
        <v>2000</v>
      </c>
      <c r="J105" s="13">
        <f t="shared" ref="J105:J139" si="18">D105-E105-F105-G105-H105</f>
        <v>3784</v>
      </c>
      <c r="K105" s="13"/>
    </row>
    <row r="106" spans="1:11" ht="16.2" thickBot="1" x14ac:dyDescent="0.35">
      <c r="A106" s="17">
        <v>35</v>
      </c>
      <c r="B106" s="13" t="s">
        <v>445</v>
      </c>
      <c r="C106" s="261">
        <v>2938</v>
      </c>
      <c r="D106" s="13">
        <v>5784</v>
      </c>
      <c r="E106" s="13"/>
      <c r="F106" s="13"/>
      <c r="G106" s="13"/>
      <c r="H106" s="13"/>
      <c r="I106" s="13">
        <f t="shared" si="16"/>
        <v>0</v>
      </c>
      <c r="J106" s="13">
        <f t="shared" si="18"/>
        <v>5784</v>
      </c>
      <c r="K106" s="13"/>
    </row>
    <row r="107" spans="1:11" ht="16.2" thickBot="1" x14ac:dyDescent="0.35">
      <c r="A107" s="17">
        <v>36</v>
      </c>
      <c r="B107" s="13" t="s">
        <v>1214</v>
      </c>
      <c r="C107" s="262">
        <v>3342</v>
      </c>
      <c r="D107" s="13">
        <v>5784</v>
      </c>
      <c r="E107" s="13">
        <v>2500</v>
      </c>
      <c r="F107" s="13"/>
      <c r="G107" s="13"/>
      <c r="H107" s="13"/>
      <c r="I107" s="13">
        <f t="shared" si="16"/>
        <v>2500</v>
      </c>
      <c r="J107" s="13">
        <f t="shared" si="18"/>
        <v>3284</v>
      </c>
      <c r="K107" s="13" t="s">
        <v>1395</v>
      </c>
    </row>
    <row r="108" spans="1:11" ht="16.2" thickBot="1" x14ac:dyDescent="0.35">
      <c r="A108" s="17">
        <v>37</v>
      </c>
      <c r="B108" s="13" t="s">
        <v>690</v>
      </c>
      <c r="C108" s="261">
        <v>2852</v>
      </c>
      <c r="D108" s="13">
        <v>5784</v>
      </c>
      <c r="E108" s="13">
        <v>2000</v>
      </c>
      <c r="F108" s="13"/>
      <c r="G108" s="13"/>
      <c r="H108" s="13"/>
      <c r="I108" s="13">
        <f t="shared" si="16"/>
        <v>2000</v>
      </c>
      <c r="J108" s="13">
        <f t="shared" si="18"/>
        <v>3784</v>
      </c>
      <c r="K108" s="13" t="s">
        <v>1395</v>
      </c>
    </row>
    <row r="109" spans="1:11" ht="16.2" thickBot="1" x14ac:dyDescent="0.35">
      <c r="A109" s="17">
        <v>38</v>
      </c>
      <c r="B109" s="20" t="s">
        <v>402</v>
      </c>
      <c r="C109" s="261">
        <v>2854</v>
      </c>
      <c r="D109" s="13">
        <v>5784</v>
      </c>
      <c r="E109" s="13">
        <v>4000</v>
      </c>
      <c r="F109" s="13"/>
      <c r="G109" s="13"/>
      <c r="H109" s="13"/>
      <c r="I109" s="13">
        <f t="shared" si="16"/>
        <v>4000</v>
      </c>
      <c r="J109" s="13">
        <f t="shared" si="18"/>
        <v>1784</v>
      </c>
      <c r="K109" s="13" t="s">
        <v>1395</v>
      </c>
    </row>
    <row r="110" spans="1:11" ht="16.2" thickBot="1" x14ac:dyDescent="0.35">
      <c r="A110" s="17">
        <v>39</v>
      </c>
      <c r="B110" s="260" t="s">
        <v>414</v>
      </c>
      <c r="C110" s="261">
        <v>2855</v>
      </c>
      <c r="D110" s="13">
        <v>5784</v>
      </c>
      <c r="E110" s="13">
        <v>2500</v>
      </c>
      <c r="F110" s="13"/>
      <c r="G110" s="13"/>
      <c r="H110" s="13"/>
      <c r="I110" s="13">
        <f t="shared" si="16"/>
        <v>2500</v>
      </c>
      <c r="J110" s="13">
        <f t="shared" si="18"/>
        <v>3284</v>
      </c>
      <c r="K110" s="13" t="s">
        <v>1395</v>
      </c>
    </row>
    <row r="111" spans="1:11" ht="16.2" thickBot="1" x14ac:dyDescent="0.35">
      <c r="A111" s="17">
        <v>40</v>
      </c>
      <c r="B111" s="13" t="s">
        <v>798</v>
      </c>
      <c r="C111" s="262"/>
      <c r="D111" s="13">
        <v>5784</v>
      </c>
      <c r="E111" s="13"/>
      <c r="F111" s="13"/>
      <c r="G111" s="13"/>
      <c r="H111" s="13"/>
      <c r="I111" s="13">
        <f t="shared" si="16"/>
        <v>0</v>
      </c>
      <c r="J111" s="13">
        <f t="shared" si="18"/>
        <v>5784</v>
      </c>
      <c r="K111" s="13"/>
    </row>
    <row r="112" spans="1:11" ht="16.2" thickBot="1" x14ac:dyDescent="0.35">
      <c r="A112" s="17">
        <v>41</v>
      </c>
      <c r="B112" s="13" t="s">
        <v>846</v>
      </c>
      <c r="C112" s="262">
        <v>3336</v>
      </c>
      <c r="D112" s="13">
        <v>5784</v>
      </c>
      <c r="E112" s="13">
        <v>3000</v>
      </c>
      <c r="F112" s="13">
        <v>2784</v>
      </c>
      <c r="G112" s="13"/>
      <c r="H112" s="13"/>
      <c r="I112" s="13">
        <f t="shared" si="16"/>
        <v>5784</v>
      </c>
      <c r="J112" s="13">
        <f t="shared" si="18"/>
        <v>0</v>
      </c>
      <c r="K112" s="13" t="s">
        <v>1723</v>
      </c>
    </row>
    <row r="113" spans="1:12" ht="16.2" thickBot="1" x14ac:dyDescent="0.35">
      <c r="A113" s="17">
        <v>42</v>
      </c>
      <c r="B113" s="13" t="s">
        <v>799</v>
      </c>
      <c r="C113" s="262"/>
      <c r="D113" s="13">
        <v>5784</v>
      </c>
      <c r="E113" s="13"/>
      <c r="F113" s="13"/>
      <c r="G113" s="13"/>
      <c r="H113" s="13"/>
      <c r="I113" s="13">
        <f t="shared" si="16"/>
        <v>0</v>
      </c>
      <c r="J113" s="13">
        <f t="shared" si="18"/>
        <v>5784</v>
      </c>
      <c r="K113" s="13"/>
    </row>
    <row r="114" spans="1:12" ht="16.2" thickBot="1" x14ac:dyDescent="0.35">
      <c r="A114" s="17">
        <v>43</v>
      </c>
      <c r="B114" s="260" t="s">
        <v>899</v>
      </c>
      <c r="C114" s="261"/>
      <c r="D114" s="13">
        <v>5784</v>
      </c>
      <c r="E114" s="13"/>
      <c r="F114" s="13"/>
      <c r="G114" s="13"/>
      <c r="H114" s="13"/>
      <c r="I114" s="13">
        <f t="shared" si="16"/>
        <v>0</v>
      </c>
      <c r="J114" s="13">
        <f t="shared" si="18"/>
        <v>5784</v>
      </c>
      <c r="K114" s="20"/>
    </row>
    <row r="115" spans="1:12" ht="16.2" thickBot="1" x14ac:dyDescent="0.35">
      <c r="A115" s="17">
        <v>44</v>
      </c>
      <c r="B115" s="260" t="s">
        <v>180</v>
      </c>
      <c r="C115" s="262"/>
      <c r="D115" s="13">
        <v>4552</v>
      </c>
      <c r="E115" s="13">
        <v>1400</v>
      </c>
      <c r="F115" s="13"/>
      <c r="G115" s="13"/>
      <c r="H115" s="13"/>
      <c r="I115" s="13">
        <f t="shared" si="16"/>
        <v>1400</v>
      </c>
      <c r="J115" s="13">
        <f t="shared" si="18"/>
        <v>3152</v>
      </c>
      <c r="K115" s="13" t="s">
        <v>1559</v>
      </c>
    </row>
    <row r="116" spans="1:12" ht="16.2" thickBot="1" x14ac:dyDescent="0.35">
      <c r="A116" s="17">
        <v>45</v>
      </c>
      <c r="B116" s="13" t="s">
        <v>800</v>
      </c>
      <c r="C116" s="262"/>
      <c r="D116" s="13">
        <v>5784</v>
      </c>
      <c r="E116" s="13"/>
      <c r="F116" s="13"/>
      <c r="G116" s="13"/>
      <c r="H116" s="13"/>
      <c r="I116" s="13">
        <f t="shared" si="16"/>
        <v>0</v>
      </c>
      <c r="J116" s="13">
        <f t="shared" si="18"/>
        <v>5784</v>
      </c>
      <c r="K116" s="13"/>
    </row>
    <row r="117" spans="1:12" ht="16.2" thickBot="1" x14ac:dyDescent="0.35">
      <c r="A117" s="17">
        <v>46</v>
      </c>
      <c r="B117" s="13" t="s">
        <v>430</v>
      </c>
      <c r="C117" s="261">
        <v>3199</v>
      </c>
      <c r="D117" s="13">
        <v>5784</v>
      </c>
      <c r="E117" s="13">
        <v>3500</v>
      </c>
      <c r="F117" s="13"/>
      <c r="G117" s="13"/>
      <c r="H117" s="13"/>
      <c r="I117" s="13">
        <f t="shared" si="16"/>
        <v>3500</v>
      </c>
      <c r="J117" s="13">
        <f t="shared" si="18"/>
        <v>2284</v>
      </c>
      <c r="K117" s="351" t="s">
        <v>1395</v>
      </c>
    </row>
    <row r="118" spans="1:12" ht="16.2" thickBot="1" x14ac:dyDescent="0.35">
      <c r="A118" s="17">
        <v>47</v>
      </c>
      <c r="B118" s="260" t="s">
        <v>426</v>
      </c>
      <c r="C118" s="261">
        <v>3200</v>
      </c>
      <c r="D118" s="13">
        <v>5784</v>
      </c>
      <c r="E118" s="13">
        <v>3500</v>
      </c>
      <c r="F118" s="13"/>
      <c r="G118" s="13"/>
      <c r="H118" s="13"/>
      <c r="I118" s="13">
        <f t="shared" si="16"/>
        <v>3500</v>
      </c>
      <c r="J118" s="13">
        <f t="shared" si="18"/>
        <v>2284</v>
      </c>
      <c r="K118" s="351" t="s">
        <v>1395</v>
      </c>
    </row>
    <row r="119" spans="1:12" ht="16.2" thickBot="1" x14ac:dyDescent="0.35">
      <c r="A119" s="17">
        <v>48</v>
      </c>
      <c r="B119" s="13" t="s">
        <v>412</v>
      </c>
      <c r="C119" s="261">
        <v>2858</v>
      </c>
      <c r="D119" s="13">
        <v>5784</v>
      </c>
      <c r="E119" s="13">
        <v>2500</v>
      </c>
      <c r="F119" s="13"/>
      <c r="G119" s="13"/>
      <c r="H119" s="13"/>
      <c r="I119" s="13">
        <f t="shared" si="16"/>
        <v>2500</v>
      </c>
      <c r="J119" s="13">
        <f t="shared" si="18"/>
        <v>3284</v>
      </c>
      <c r="K119" s="13" t="s">
        <v>1395</v>
      </c>
    </row>
    <row r="120" spans="1:12" ht="16.2" thickBot="1" x14ac:dyDescent="0.35">
      <c r="A120" s="17">
        <v>49</v>
      </c>
      <c r="B120" s="13" t="s">
        <v>441</v>
      </c>
      <c r="C120" s="262">
        <v>2859</v>
      </c>
      <c r="D120" s="13">
        <v>5784</v>
      </c>
      <c r="E120" s="13"/>
      <c r="F120" s="13"/>
      <c r="G120" s="13"/>
      <c r="H120" s="13"/>
      <c r="I120" s="13">
        <f t="shared" si="16"/>
        <v>0</v>
      </c>
      <c r="J120" s="13">
        <f t="shared" si="18"/>
        <v>5784</v>
      </c>
      <c r="K120" s="13"/>
    </row>
    <row r="121" spans="1:12" ht="16.2" thickBot="1" x14ac:dyDescent="0.35">
      <c r="A121" s="17">
        <v>50</v>
      </c>
      <c r="B121" s="13" t="s">
        <v>1641</v>
      </c>
      <c r="C121" s="262"/>
      <c r="D121" s="13">
        <v>7824</v>
      </c>
      <c r="E121" s="13">
        <v>3000</v>
      </c>
      <c r="F121" s="13">
        <v>2500</v>
      </c>
      <c r="G121" s="13"/>
      <c r="H121" s="13"/>
      <c r="I121" s="13">
        <f t="shared" si="16"/>
        <v>5500</v>
      </c>
      <c r="J121" s="13">
        <f t="shared" si="18"/>
        <v>2324</v>
      </c>
      <c r="K121" s="13" t="s">
        <v>1588</v>
      </c>
    </row>
    <row r="122" spans="1:12" ht="16.2" thickBot="1" x14ac:dyDescent="0.35">
      <c r="A122" s="17">
        <v>51</v>
      </c>
      <c r="B122" s="20" t="s">
        <v>994</v>
      </c>
      <c r="C122" s="20"/>
      <c r="D122" s="13">
        <v>5784</v>
      </c>
      <c r="E122" s="13"/>
      <c r="F122" s="13"/>
      <c r="G122" s="13"/>
      <c r="H122" s="13"/>
      <c r="I122" s="13">
        <f t="shared" si="16"/>
        <v>0</v>
      </c>
      <c r="J122" s="13">
        <f t="shared" si="18"/>
        <v>5784</v>
      </c>
      <c r="K122" s="20"/>
    </row>
    <row r="123" spans="1:12" ht="16.2" thickBot="1" x14ac:dyDescent="0.35">
      <c r="A123" s="17">
        <v>52</v>
      </c>
      <c r="B123" s="20" t="s">
        <v>1650</v>
      </c>
      <c r="C123" s="20"/>
      <c r="D123" s="13">
        <v>5784</v>
      </c>
      <c r="E123" s="13">
        <v>5784</v>
      </c>
      <c r="F123" s="13"/>
      <c r="G123" s="13"/>
      <c r="H123" s="13"/>
      <c r="I123" s="13">
        <f t="shared" si="16"/>
        <v>5784</v>
      </c>
      <c r="J123" s="13">
        <f t="shared" si="18"/>
        <v>0</v>
      </c>
      <c r="K123" s="20"/>
    </row>
    <row r="124" spans="1:12" ht="16.2" thickBot="1" x14ac:dyDescent="0.35">
      <c r="A124" s="17">
        <v>53</v>
      </c>
      <c r="B124" s="13" t="s">
        <v>801</v>
      </c>
      <c r="C124" s="262"/>
      <c r="D124" s="13">
        <v>5784</v>
      </c>
      <c r="E124" s="13">
        <v>3000</v>
      </c>
      <c r="F124" s="13">
        <v>2724</v>
      </c>
      <c r="G124" s="13"/>
      <c r="H124" s="13"/>
      <c r="I124" s="13">
        <f t="shared" si="16"/>
        <v>5724</v>
      </c>
      <c r="J124" s="13">
        <f t="shared" si="18"/>
        <v>60</v>
      </c>
      <c r="K124" s="13" t="s">
        <v>1395</v>
      </c>
      <c r="L124" t="s">
        <v>1584</v>
      </c>
    </row>
    <row r="125" spans="1:12" ht="16.2" thickBot="1" x14ac:dyDescent="0.35">
      <c r="A125" s="17">
        <v>54</v>
      </c>
      <c r="B125" s="13" t="s">
        <v>418</v>
      </c>
      <c r="C125" s="261">
        <v>2860</v>
      </c>
      <c r="D125" s="13">
        <v>5784</v>
      </c>
      <c r="E125" s="13"/>
      <c r="F125" s="13"/>
      <c r="G125" s="13"/>
      <c r="H125" s="13"/>
      <c r="I125" s="13">
        <f t="shared" si="16"/>
        <v>0</v>
      </c>
      <c r="J125" s="13">
        <f t="shared" si="18"/>
        <v>5784</v>
      </c>
      <c r="K125" s="13"/>
    </row>
    <row r="126" spans="1:12" ht="16.2" thickBot="1" x14ac:dyDescent="0.35">
      <c r="A126" s="17">
        <v>55</v>
      </c>
      <c r="B126" s="20" t="s">
        <v>944</v>
      </c>
      <c r="C126" s="262">
        <v>3233</v>
      </c>
      <c r="D126" s="13">
        <v>5784</v>
      </c>
      <c r="E126" s="13">
        <v>4000</v>
      </c>
      <c r="F126" s="13"/>
      <c r="G126" s="13"/>
      <c r="H126" s="13"/>
      <c r="I126" s="13">
        <f t="shared" si="16"/>
        <v>4000</v>
      </c>
      <c r="J126" s="13">
        <f t="shared" si="18"/>
        <v>1784</v>
      </c>
      <c r="K126" s="13" t="s">
        <v>1395</v>
      </c>
    </row>
    <row r="127" spans="1:12" ht="16.2" thickBot="1" x14ac:dyDescent="0.35">
      <c r="A127" s="17">
        <v>56</v>
      </c>
      <c r="B127" s="13" t="s">
        <v>803</v>
      </c>
      <c r="C127" s="262"/>
      <c r="D127" s="13">
        <v>5784</v>
      </c>
      <c r="E127" s="13">
        <v>3000</v>
      </c>
      <c r="F127" s="13">
        <v>2784</v>
      </c>
      <c r="G127" s="13"/>
      <c r="H127" s="13"/>
      <c r="I127" s="13">
        <f t="shared" si="16"/>
        <v>5784</v>
      </c>
      <c r="J127" s="13">
        <f t="shared" si="18"/>
        <v>0</v>
      </c>
      <c r="K127" s="13" t="s">
        <v>1395</v>
      </c>
    </row>
    <row r="128" spans="1:12" ht="16.2" thickBot="1" x14ac:dyDescent="0.35">
      <c r="A128" s="17">
        <v>57</v>
      </c>
      <c r="B128" s="260" t="s">
        <v>413</v>
      </c>
      <c r="C128" s="262">
        <v>2861</v>
      </c>
      <c r="D128" s="13">
        <v>5784</v>
      </c>
      <c r="E128" s="13">
        <v>5784</v>
      </c>
      <c r="F128" s="13"/>
      <c r="G128" s="13"/>
      <c r="H128" s="13"/>
      <c r="I128" s="13">
        <f t="shared" si="16"/>
        <v>5784</v>
      </c>
      <c r="J128" s="13">
        <f t="shared" si="18"/>
        <v>0</v>
      </c>
      <c r="K128" s="13" t="s">
        <v>1395</v>
      </c>
    </row>
    <row r="129" spans="1:11" ht="16.2" thickBot="1" x14ac:dyDescent="0.35">
      <c r="A129" s="17">
        <v>58</v>
      </c>
      <c r="B129" s="13" t="s">
        <v>398</v>
      </c>
      <c r="C129" s="261"/>
      <c r="D129" s="13">
        <v>5784</v>
      </c>
      <c r="E129" s="13">
        <v>5784</v>
      </c>
      <c r="F129" s="13"/>
      <c r="G129" s="13"/>
      <c r="H129" s="13"/>
      <c r="I129" s="13">
        <f t="shared" si="16"/>
        <v>5784</v>
      </c>
      <c r="J129" s="13">
        <f t="shared" si="18"/>
        <v>0</v>
      </c>
      <c r="K129" s="13" t="s">
        <v>1395</v>
      </c>
    </row>
    <row r="130" spans="1:11" ht="16.2" thickBot="1" x14ac:dyDescent="0.35">
      <c r="A130" s="17">
        <v>59</v>
      </c>
      <c r="B130" s="13" t="s">
        <v>400</v>
      </c>
      <c r="C130" s="261">
        <v>2864</v>
      </c>
      <c r="D130" s="13">
        <v>5784</v>
      </c>
      <c r="E130" s="13">
        <v>3000</v>
      </c>
      <c r="F130" s="13">
        <v>2784</v>
      </c>
      <c r="G130" s="13"/>
      <c r="H130" s="13"/>
      <c r="I130" s="13">
        <f t="shared" si="16"/>
        <v>5784</v>
      </c>
      <c r="J130" s="13">
        <f t="shared" si="18"/>
        <v>0</v>
      </c>
      <c r="K130" s="13" t="s">
        <v>1723</v>
      </c>
    </row>
    <row r="131" spans="1:11" ht="16.2" thickBot="1" x14ac:dyDescent="0.35">
      <c r="A131" s="17">
        <v>60</v>
      </c>
      <c r="B131" s="13" t="s">
        <v>410</v>
      </c>
      <c r="C131" s="261">
        <v>2865</v>
      </c>
      <c r="D131" s="13">
        <v>5784</v>
      </c>
      <c r="E131" s="13">
        <v>2000</v>
      </c>
      <c r="F131" s="13"/>
      <c r="G131" s="13"/>
      <c r="H131" s="13"/>
      <c r="I131" s="13">
        <f t="shared" si="16"/>
        <v>2000</v>
      </c>
      <c r="J131" s="13">
        <f t="shared" si="18"/>
        <v>3784</v>
      </c>
      <c r="K131" s="13" t="s">
        <v>1395</v>
      </c>
    </row>
    <row r="132" spans="1:11" ht="16.2" thickBot="1" x14ac:dyDescent="0.35">
      <c r="A132" s="17">
        <v>61</v>
      </c>
      <c r="B132" s="20" t="s">
        <v>406</v>
      </c>
      <c r="C132" s="262">
        <v>2866</v>
      </c>
      <c r="D132" s="13">
        <v>5784</v>
      </c>
      <c r="E132" s="13">
        <v>5000</v>
      </c>
      <c r="F132" s="13">
        <v>384</v>
      </c>
      <c r="G132" s="13">
        <v>400</v>
      </c>
      <c r="H132" s="13"/>
      <c r="I132" s="13">
        <f t="shared" si="16"/>
        <v>5784</v>
      </c>
      <c r="J132" s="13">
        <f t="shared" si="18"/>
        <v>0</v>
      </c>
      <c r="K132" s="13"/>
    </row>
    <row r="133" spans="1:11" ht="16.2" thickBot="1" x14ac:dyDescent="0.35">
      <c r="A133" s="17">
        <v>62</v>
      </c>
      <c r="B133" s="13" t="s">
        <v>404</v>
      </c>
      <c r="C133" s="262">
        <v>2867</v>
      </c>
      <c r="D133" s="13">
        <v>5784</v>
      </c>
      <c r="E133" s="13">
        <v>2000</v>
      </c>
      <c r="F133" s="13"/>
      <c r="G133" s="13"/>
      <c r="H133" s="13"/>
      <c r="I133" s="13">
        <f t="shared" si="16"/>
        <v>2000</v>
      </c>
      <c r="J133" s="13">
        <f t="shared" si="18"/>
        <v>3784</v>
      </c>
      <c r="K133" s="13" t="s">
        <v>1395</v>
      </c>
    </row>
    <row r="134" spans="1:11" ht="16.2" thickBot="1" x14ac:dyDescent="0.35">
      <c r="A134" s="17">
        <v>63</v>
      </c>
      <c r="B134" s="13" t="s">
        <v>434</v>
      </c>
      <c r="C134" s="261">
        <v>2869</v>
      </c>
      <c r="D134" s="13">
        <v>5784</v>
      </c>
      <c r="E134" s="13">
        <v>3784</v>
      </c>
      <c r="F134" s="13">
        <v>1500</v>
      </c>
      <c r="G134" s="13">
        <v>500</v>
      </c>
      <c r="H134" s="13"/>
      <c r="I134" s="13">
        <f t="shared" si="16"/>
        <v>5784</v>
      </c>
      <c r="J134" s="13">
        <f t="shared" si="18"/>
        <v>0</v>
      </c>
      <c r="K134" s="13" t="s">
        <v>1723</v>
      </c>
    </row>
    <row r="135" spans="1:11" ht="16.2" thickBot="1" x14ac:dyDescent="0.35">
      <c r="A135" s="17">
        <v>64</v>
      </c>
      <c r="B135" s="13" t="s">
        <v>1212</v>
      </c>
      <c r="C135" s="262">
        <v>2870</v>
      </c>
      <c r="D135" s="13">
        <v>5784</v>
      </c>
      <c r="E135" s="13">
        <v>2500</v>
      </c>
      <c r="F135" s="13">
        <v>2000</v>
      </c>
      <c r="G135" s="13"/>
      <c r="H135" s="13"/>
      <c r="I135" s="13">
        <f t="shared" si="16"/>
        <v>4500</v>
      </c>
      <c r="J135" s="13">
        <f t="shared" si="18"/>
        <v>1284</v>
      </c>
      <c r="K135" s="13" t="s">
        <v>1395</v>
      </c>
    </row>
    <row r="136" spans="1:11" ht="16.2" thickBot="1" x14ac:dyDescent="0.35">
      <c r="A136" s="17">
        <v>65</v>
      </c>
      <c r="B136" s="260" t="s">
        <v>435</v>
      </c>
      <c r="C136" s="262">
        <v>2871</v>
      </c>
      <c r="D136" s="13">
        <v>5784</v>
      </c>
      <c r="E136" s="13">
        <v>4000</v>
      </c>
      <c r="F136" s="13"/>
      <c r="G136" s="13"/>
      <c r="H136" s="13"/>
      <c r="I136" s="13">
        <f t="shared" si="16"/>
        <v>4000</v>
      </c>
      <c r="J136" s="13">
        <f t="shared" si="18"/>
        <v>1784</v>
      </c>
      <c r="K136" s="13" t="s">
        <v>1395</v>
      </c>
    </row>
    <row r="137" spans="1:11" ht="16.2" thickBot="1" x14ac:dyDescent="0.35">
      <c r="A137" s="17">
        <v>66</v>
      </c>
      <c r="B137" s="13" t="s">
        <v>802</v>
      </c>
      <c r="C137" s="262"/>
      <c r="D137" s="13">
        <v>5784</v>
      </c>
      <c r="E137" s="13">
        <v>3000</v>
      </c>
      <c r="F137" s="13"/>
      <c r="G137" s="13"/>
      <c r="H137" s="13"/>
      <c r="I137" s="13">
        <f t="shared" ref="I137:I191" si="19">SUM(E137:H137)</f>
        <v>3000</v>
      </c>
      <c r="J137" s="13">
        <f t="shared" si="18"/>
        <v>2784</v>
      </c>
      <c r="K137" s="13" t="s">
        <v>1395</v>
      </c>
    </row>
    <row r="138" spans="1:11" ht="16.2" thickBot="1" x14ac:dyDescent="0.35">
      <c r="A138" s="17">
        <v>67</v>
      </c>
      <c r="B138" s="13" t="s">
        <v>1573</v>
      </c>
      <c r="C138" s="262"/>
      <c r="D138" s="13">
        <v>5734</v>
      </c>
      <c r="E138" s="13">
        <v>1990</v>
      </c>
      <c r="F138" s="13"/>
      <c r="G138" s="13"/>
      <c r="H138" s="13"/>
      <c r="I138" s="13">
        <f t="shared" si="19"/>
        <v>1990</v>
      </c>
      <c r="J138" s="13">
        <f t="shared" si="18"/>
        <v>3744</v>
      </c>
      <c r="K138" s="13"/>
    </row>
    <row r="139" spans="1:11" ht="16.2" thickBot="1" x14ac:dyDescent="0.35">
      <c r="A139" s="17">
        <v>68</v>
      </c>
      <c r="B139" s="13" t="s">
        <v>658</v>
      </c>
      <c r="C139" s="262">
        <v>2665</v>
      </c>
      <c r="D139" s="13">
        <v>5784</v>
      </c>
      <c r="E139" s="13"/>
      <c r="F139" s="13"/>
      <c r="G139" s="13"/>
      <c r="H139" s="13"/>
      <c r="I139" s="13">
        <f t="shared" si="19"/>
        <v>0</v>
      </c>
      <c r="J139" s="13">
        <f t="shared" si="18"/>
        <v>5784</v>
      </c>
      <c r="K139" s="13"/>
    </row>
    <row r="140" spans="1:11" ht="16.2" thickBot="1" x14ac:dyDescent="0.35">
      <c r="A140" s="17">
        <v>69</v>
      </c>
      <c r="B140" s="13" t="s">
        <v>394</v>
      </c>
      <c r="C140" s="262"/>
      <c r="D140" s="13">
        <v>5784</v>
      </c>
      <c r="E140" s="13">
        <v>5784</v>
      </c>
      <c r="F140" s="13"/>
      <c r="G140" s="13"/>
      <c r="H140" s="13"/>
      <c r="I140" s="13">
        <f t="shared" si="19"/>
        <v>5784</v>
      </c>
      <c r="J140" s="13">
        <f t="shared" ref="J140:J147" si="20">D140-E140-F140-G140-H140</f>
        <v>0</v>
      </c>
      <c r="K140" s="13" t="s">
        <v>1395</v>
      </c>
    </row>
    <row r="141" spans="1:11" ht="16.2" thickBot="1" x14ac:dyDescent="0.35">
      <c r="A141" s="17">
        <v>70</v>
      </c>
      <c r="B141" s="260" t="s">
        <v>442</v>
      </c>
      <c r="C141" s="262">
        <v>2929</v>
      </c>
      <c r="D141" s="13">
        <v>5784</v>
      </c>
      <c r="E141" s="13"/>
      <c r="F141" s="13"/>
      <c r="G141" s="13"/>
      <c r="H141" s="13"/>
      <c r="I141" s="13">
        <f t="shared" si="19"/>
        <v>0</v>
      </c>
      <c r="J141" s="13">
        <f t="shared" si="20"/>
        <v>5784</v>
      </c>
      <c r="K141" s="13"/>
    </row>
    <row r="142" spans="1:11" ht="16.2" thickBot="1" x14ac:dyDescent="0.35">
      <c r="A142" s="17">
        <v>71</v>
      </c>
      <c r="B142" s="13" t="s">
        <v>390</v>
      </c>
      <c r="C142" s="263"/>
      <c r="D142" s="13">
        <v>5784</v>
      </c>
      <c r="E142" s="13">
        <v>2300</v>
      </c>
      <c r="F142" s="13"/>
      <c r="G142" s="13"/>
      <c r="H142" s="13"/>
      <c r="I142" s="13">
        <f t="shared" si="19"/>
        <v>2300</v>
      </c>
      <c r="J142" s="13">
        <f t="shared" si="20"/>
        <v>3484</v>
      </c>
      <c r="K142" s="13" t="s">
        <v>1395</v>
      </c>
    </row>
    <row r="143" spans="1:11" ht="16.2" thickBot="1" x14ac:dyDescent="0.35">
      <c r="A143" s="17">
        <v>72</v>
      </c>
      <c r="B143" s="20" t="s">
        <v>902</v>
      </c>
      <c r="C143" s="20"/>
      <c r="D143" s="13">
        <v>5784</v>
      </c>
      <c r="E143" s="13"/>
      <c r="F143" s="13"/>
      <c r="G143" s="13"/>
      <c r="H143" s="13"/>
      <c r="I143" s="13">
        <f t="shared" si="19"/>
        <v>0</v>
      </c>
      <c r="J143" s="13">
        <f t="shared" si="20"/>
        <v>5784</v>
      </c>
      <c r="K143" s="20"/>
    </row>
    <row r="144" spans="1:11" ht="16.2" thickBot="1" x14ac:dyDescent="0.35">
      <c r="A144" s="17"/>
      <c r="B144" s="20" t="s">
        <v>1762</v>
      </c>
      <c r="C144" s="20">
        <v>3710</v>
      </c>
      <c r="D144" s="13">
        <v>7824</v>
      </c>
      <c r="E144" s="13">
        <v>2784</v>
      </c>
      <c r="F144" s="13"/>
      <c r="G144" s="13"/>
      <c r="H144" s="13"/>
      <c r="I144" s="13">
        <f t="shared" ref="I144" si="21">SUM(E144:H144)</f>
        <v>2784</v>
      </c>
      <c r="J144" s="13">
        <f t="shared" ref="J144" si="22">D144-E144-F144-G144-H144</f>
        <v>5040</v>
      </c>
      <c r="K144" s="20" t="s">
        <v>1646</v>
      </c>
    </row>
    <row r="145" spans="1:12" ht="16.2" thickBot="1" x14ac:dyDescent="0.35">
      <c r="A145" s="17">
        <v>73</v>
      </c>
      <c r="B145" s="20" t="s">
        <v>989</v>
      </c>
      <c r="C145" s="20"/>
      <c r="D145" s="13">
        <v>5784</v>
      </c>
      <c r="E145" s="13"/>
      <c r="F145" s="13"/>
      <c r="G145" s="13"/>
      <c r="H145" s="13"/>
      <c r="I145" s="13">
        <f t="shared" si="19"/>
        <v>0</v>
      </c>
      <c r="J145" s="13">
        <f t="shared" si="20"/>
        <v>5784</v>
      </c>
      <c r="K145" s="20"/>
    </row>
    <row r="146" spans="1:12" ht="16.2" thickBot="1" x14ac:dyDescent="0.35">
      <c r="A146" s="17">
        <v>74</v>
      </c>
      <c r="B146" s="13" t="s">
        <v>437</v>
      </c>
      <c r="C146" s="261">
        <v>2876</v>
      </c>
      <c r="D146" s="13">
        <v>5784</v>
      </c>
      <c r="E146" s="13"/>
      <c r="F146" s="13"/>
      <c r="G146" s="13"/>
      <c r="H146" s="13"/>
      <c r="I146" s="13">
        <f t="shared" si="19"/>
        <v>0</v>
      </c>
      <c r="J146" s="13">
        <f t="shared" si="20"/>
        <v>5784</v>
      </c>
      <c r="K146" s="13"/>
    </row>
    <row r="147" spans="1:12" ht="16.2" thickBot="1" x14ac:dyDescent="0.35">
      <c r="A147" s="17">
        <v>75</v>
      </c>
      <c r="B147" s="13" t="s">
        <v>757</v>
      </c>
      <c r="C147" s="262"/>
      <c r="D147" s="13">
        <v>5784</v>
      </c>
      <c r="E147" s="13"/>
      <c r="F147" s="13"/>
      <c r="G147" s="13"/>
      <c r="H147" s="13"/>
      <c r="I147" s="13">
        <f t="shared" si="19"/>
        <v>0</v>
      </c>
      <c r="J147" s="13">
        <f t="shared" si="20"/>
        <v>5784</v>
      </c>
      <c r="K147" s="13"/>
    </row>
    <row r="148" spans="1:12" ht="16.2" thickBot="1" x14ac:dyDescent="0.35">
      <c r="A148" s="17">
        <v>76</v>
      </c>
      <c r="B148" s="13" t="s">
        <v>757</v>
      </c>
      <c r="C148" s="262">
        <v>3216</v>
      </c>
      <c r="D148" s="13">
        <v>5784</v>
      </c>
      <c r="E148" s="13">
        <v>3000</v>
      </c>
      <c r="F148" s="13"/>
      <c r="G148" s="13"/>
      <c r="H148" s="13"/>
      <c r="I148" s="13">
        <f t="shared" si="19"/>
        <v>3000</v>
      </c>
      <c r="J148" s="13">
        <f>D148-I148</f>
        <v>2784</v>
      </c>
      <c r="K148" s="13" t="s">
        <v>1395</v>
      </c>
    </row>
    <row r="149" spans="1:12" ht="16.2" thickBot="1" x14ac:dyDescent="0.35">
      <c r="A149" s="17">
        <v>77</v>
      </c>
      <c r="B149" s="260" t="s">
        <v>419</v>
      </c>
      <c r="C149" s="262">
        <v>2879</v>
      </c>
      <c r="D149" s="13">
        <v>5784</v>
      </c>
      <c r="E149" s="13"/>
      <c r="F149" s="13"/>
      <c r="G149" s="13"/>
      <c r="H149" s="13"/>
      <c r="I149" s="13">
        <f t="shared" si="19"/>
        <v>0</v>
      </c>
      <c r="J149" s="13">
        <f t="shared" ref="J149:J189" si="23">D149-E149-F149-G149-H149</f>
        <v>5784</v>
      </c>
      <c r="K149" s="13"/>
    </row>
    <row r="150" spans="1:12" ht="16.2" thickBot="1" x14ac:dyDescent="0.35">
      <c r="A150" s="17">
        <v>78</v>
      </c>
      <c r="B150" s="20" t="s">
        <v>428</v>
      </c>
      <c r="C150" s="262">
        <v>2040</v>
      </c>
      <c r="D150" s="13">
        <v>5784</v>
      </c>
      <c r="E150" s="13">
        <v>2600</v>
      </c>
      <c r="F150" s="13"/>
      <c r="G150" s="13"/>
      <c r="H150" s="13"/>
      <c r="I150" s="13">
        <f t="shared" si="19"/>
        <v>2600</v>
      </c>
      <c r="J150" s="13">
        <f t="shared" si="23"/>
        <v>3184</v>
      </c>
      <c r="K150" s="13" t="s">
        <v>1395</v>
      </c>
    </row>
    <row r="151" spans="1:12" ht="16.2" thickBot="1" x14ac:dyDescent="0.35">
      <c r="A151" s="17">
        <v>79</v>
      </c>
      <c r="B151" s="13" t="s">
        <v>526</v>
      </c>
      <c r="C151" s="262"/>
      <c r="D151" s="13">
        <v>5784</v>
      </c>
      <c r="E151" s="13">
        <v>3000</v>
      </c>
      <c r="F151" s="13">
        <v>2784</v>
      </c>
      <c r="G151" s="13"/>
      <c r="H151" s="13"/>
      <c r="I151" s="13">
        <f t="shared" si="19"/>
        <v>5784</v>
      </c>
      <c r="J151" s="13">
        <f t="shared" si="23"/>
        <v>0</v>
      </c>
      <c r="K151" s="13" t="s">
        <v>1395</v>
      </c>
    </row>
    <row r="152" spans="1:12" ht="16.2" thickBot="1" x14ac:dyDescent="0.35">
      <c r="A152" s="17">
        <v>80</v>
      </c>
      <c r="B152" s="13" t="s">
        <v>524</v>
      </c>
      <c r="C152" s="262">
        <v>2881</v>
      </c>
      <c r="D152" s="13">
        <v>5784</v>
      </c>
      <c r="E152" s="13">
        <v>4000</v>
      </c>
      <c r="F152" s="13"/>
      <c r="G152" s="13"/>
      <c r="H152" s="13"/>
      <c r="I152" s="13">
        <f t="shared" si="19"/>
        <v>4000</v>
      </c>
      <c r="J152" s="13">
        <f t="shared" si="23"/>
        <v>1784</v>
      </c>
      <c r="K152" s="13"/>
    </row>
    <row r="153" spans="1:12" ht="16.2" thickBot="1" x14ac:dyDescent="0.35">
      <c r="A153" s="17">
        <v>81</v>
      </c>
      <c r="B153" s="13" t="s">
        <v>411</v>
      </c>
      <c r="C153" s="261">
        <v>2883</v>
      </c>
      <c r="D153" s="13">
        <v>5784</v>
      </c>
      <c r="E153" s="13">
        <v>2610</v>
      </c>
      <c r="F153" s="13">
        <v>1100</v>
      </c>
      <c r="G153" s="13"/>
      <c r="H153" s="13"/>
      <c r="I153" s="13">
        <f t="shared" si="19"/>
        <v>3710</v>
      </c>
      <c r="J153" s="13">
        <f t="shared" si="23"/>
        <v>2074</v>
      </c>
      <c r="K153" s="13" t="s">
        <v>1395</v>
      </c>
    </row>
    <row r="154" spans="1:12" ht="16.2" thickBot="1" x14ac:dyDescent="0.35">
      <c r="A154" s="17">
        <v>82</v>
      </c>
      <c r="B154" s="13" t="s">
        <v>886</v>
      </c>
      <c r="C154" s="262"/>
      <c r="D154" s="13">
        <v>5784</v>
      </c>
      <c r="E154" s="13"/>
      <c r="F154" s="13"/>
      <c r="G154" s="13"/>
      <c r="H154" s="13"/>
      <c r="I154" s="13">
        <f t="shared" si="19"/>
        <v>0</v>
      </c>
      <c r="J154" s="13">
        <f t="shared" si="23"/>
        <v>5784</v>
      </c>
      <c r="K154" s="20"/>
    </row>
    <row r="155" spans="1:12" ht="16.2" thickBot="1" x14ac:dyDescent="0.35">
      <c r="A155" s="17">
        <v>83</v>
      </c>
      <c r="B155" s="13" t="s">
        <v>407</v>
      </c>
      <c r="C155" s="262">
        <v>2885</v>
      </c>
      <c r="D155" s="13">
        <v>5784</v>
      </c>
      <c r="E155" s="13">
        <v>3500</v>
      </c>
      <c r="F155" s="13">
        <v>2840</v>
      </c>
      <c r="G155" s="13"/>
      <c r="H155" s="13"/>
      <c r="I155" s="13">
        <f t="shared" si="19"/>
        <v>6340</v>
      </c>
      <c r="J155" s="13">
        <f t="shared" si="23"/>
        <v>-556</v>
      </c>
      <c r="K155" s="13"/>
      <c r="L155" s="531" t="s">
        <v>1725</v>
      </c>
    </row>
    <row r="156" spans="1:12" ht="16.2" thickBot="1" x14ac:dyDescent="0.35">
      <c r="A156" s="17">
        <v>84</v>
      </c>
      <c r="B156" s="13" t="s">
        <v>1635</v>
      </c>
      <c r="C156" s="262">
        <v>3761</v>
      </c>
      <c r="D156" s="13">
        <v>7824</v>
      </c>
      <c r="E156" s="13">
        <v>3000</v>
      </c>
      <c r="F156" s="13">
        <v>2784</v>
      </c>
      <c r="G156" s="13">
        <v>2040</v>
      </c>
      <c r="H156" s="13"/>
      <c r="I156" s="13">
        <f t="shared" si="19"/>
        <v>7824</v>
      </c>
      <c r="J156" s="13">
        <f t="shared" si="23"/>
        <v>0</v>
      </c>
      <c r="K156" s="13" t="s">
        <v>1395</v>
      </c>
    </row>
    <row r="157" spans="1:12" ht="16.2" thickBot="1" x14ac:dyDescent="0.35">
      <c r="A157" s="17">
        <v>85</v>
      </c>
      <c r="B157" s="13" t="s">
        <v>401</v>
      </c>
      <c r="C157" s="262"/>
      <c r="D157" s="13">
        <v>5784</v>
      </c>
      <c r="E157" s="13"/>
      <c r="F157" s="13"/>
      <c r="G157" s="13"/>
      <c r="H157" s="13"/>
      <c r="I157" s="13">
        <f t="shared" si="19"/>
        <v>0</v>
      </c>
      <c r="J157" s="13">
        <f t="shared" si="23"/>
        <v>5784</v>
      </c>
      <c r="K157" s="13"/>
    </row>
    <row r="158" spans="1:12" ht="16.2" thickBot="1" x14ac:dyDescent="0.35">
      <c r="A158" s="17">
        <v>86</v>
      </c>
      <c r="B158" s="260" t="s">
        <v>660</v>
      </c>
      <c r="C158" s="261">
        <v>1889</v>
      </c>
      <c r="D158" s="13">
        <v>5784</v>
      </c>
      <c r="E158" s="13"/>
      <c r="F158" s="13"/>
      <c r="G158" s="13"/>
      <c r="H158" s="13"/>
      <c r="I158" s="13">
        <f t="shared" si="19"/>
        <v>0</v>
      </c>
      <c r="J158" s="13">
        <f t="shared" si="23"/>
        <v>5784</v>
      </c>
      <c r="K158" s="13"/>
    </row>
    <row r="159" spans="1:12" ht="16.2" thickBot="1" x14ac:dyDescent="0.35">
      <c r="A159" s="17">
        <v>87</v>
      </c>
      <c r="B159" s="13" t="s">
        <v>422</v>
      </c>
      <c r="C159" s="261">
        <v>2890</v>
      </c>
      <c r="D159" s="13">
        <v>5784</v>
      </c>
      <c r="E159" s="13">
        <v>2500</v>
      </c>
      <c r="F159" s="13"/>
      <c r="G159" s="13"/>
      <c r="H159" s="13"/>
      <c r="I159" s="13">
        <f t="shared" si="19"/>
        <v>2500</v>
      </c>
      <c r="J159" s="13">
        <f t="shared" si="23"/>
        <v>3284</v>
      </c>
      <c r="K159" s="13" t="s">
        <v>1395</v>
      </c>
    </row>
    <row r="160" spans="1:12" ht="16.2" thickBot="1" x14ac:dyDescent="0.35">
      <c r="A160" s="17">
        <v>88</v>
      </c>
      <c r="B160" s="260" t="s">
        <v>661</v>
      </c>
      <c r="C160" s="261">
        <v>2888</v>
      </c>
      <c r="D160" s="13">
        <v>5784</v>
      </c>
      <c r="E160" s="13">
        <v>2000</v>
      </c>
      <c r="F160" s="13"/>
      <c r="G160" s="13"/>
      <c r="H160" s="13"/>
      <c r="I160" s="13">
        <f t="shared" si="19"/>
        <v>2000</v>
      </c>
      <c r="J160" s="13">
        <f t="shared" si="23"/>
        <v>3784</v>
      </c>
      <c r="K160" s="13" t="s">
        <v>1395</v>
      </c>
    </row>
    <row r="161" spans="1:11" ht="16.2" thickBot="1" x14ac:dyDescent="0.35">
      <c r="A161" s="17">
        <v>89</v>
      </c>
      <c r="B161" s="260" t="s">
        <v>391</v>
      </c>
      <c r="C161" s="262"/>
      <c r="D161" s="13">
        <v>5784</v>
      </c>
      <c r="E161" s="13"/>
      <c r="F161" s="13"/>
      <c r="G161" s="13"/>
      <c r="H161" s="13"/>
      <c r="I161" s="13">
        <f t="shared" si="19"/>
        <v>0</v>
      </c>
      <c r="J161" s="13">
        <f t="shared" si="23"/>
        <v>5784</v>
      </c>
      <c r="K161" s="13"/>
    </row>
    <row r="162" spans="1:11" ht="16.2" thickBot="1" x14ac:dyDescent="0.35">
      <c r="A162" s="17">
        <v>90</v>
      </c>
      <c r="B162" s="20" t="s">
        <v>954</v>
      </c>
      <c r="C162" s="20"/>
      <c r="D162" s="13">
        <v>5784</v>
      </c>
      <c r="E162" s="13"/>
      <c r="F162" s="13"/>
      <c r="G162" s="13"/>
      <c r="H162" s="13"/>
      <c r="I162" s="13">
        <f t="shared" si="19"/>
        <v>0</v>
      </c>
      <c r="J162" s="13">
        <f t="shared" si="23"/>
        <v>5784</v>
      </c>
      <c r="K162" s="20"/>
    </row>
    <row r="163" spans="1:11" ht="16.2" thickBot="1" x14ac:dyDescent="0.35">
      <c r="A163" s="17">
        <v>91</v>
      </c>
      <c r="B163" s="260" t="s">
        <v>662</v>
      </c>
      <c r="C163" s="261">
        <v>2892</v>
      </c>
      <c r="D163" s="13">
        <v>5784</v>
      </c>
      <c r="E163" s="13">
        <v>1000</v>
      </c>
      <c r="F163" s="13"/>
      <c r="G163" s="13"/>
      <c r="H163" s="13"/>
      <c r="I163" s="13">
        <f t="shared" si="19"/>
        <v>1000</v>
      </c>
      <c r="J163" s="13">
        <f t="shared" si="23"/>
        <v>4784</v>
      </c>
      <c r="K163" s="351" t="s">
        <v>1395</v>
      </c>
    </row>
    <row r="164" spans="1:11" ht="16.2" thickBot="1" x14ac:dyDescent="0.35">
      <c r="A164" s="17">
        <v>92</v>
      </c>
      <c r="B164" s="13" t="s">
        <v>845</v>
      </c>
      <c r="C164" s="262">
        <v>1840</v>
      </c>
      <c r="D164" s="13">
        <v>5784</v>
      </c>
      <c r="E164" s="13"/>
      <c r="F164" s="13"/>
      <c r="G164" s="13"/>
      <c r="H164" s="13"/>
      <c r="I164" s="13">
        <f t="shared" si="19"/>
        <v>0</v>
      </c>
      <c r="J164" s="13">
        <f t="shared" si="23"/>
        <v>5784</v>
      </c>
      <c r="K164" s="13"/>
    </row>
    <row r="165" spans="1:11" ht="16.2" thickBot="1" x14ac:dyDescent="0.35">
      <c r="A165" s="17">
        <v>93</v>
      </c>
      <c r="B165" s="13" t="s">
        <v>443</v>
      </c>
      <c r="C165" s="262">
        <v>2076</v>
      </c>
      <c r="D165" s="13">
        <v>5784</v>
      </c>
      <c r="E165" s="13"/>
      <c r="F165" s="13"/>
      <c r="G165" s="13"/>
      <c r="H165" s="13"/>
      <c r="I165" s="13">
        <f t="shared" si="19"/>
        <v>0</v>
      </c>
      <c r="J165" s="13">
        <f t="shared" si="23"/>
        <v>5784</v>
      </c>
      <c r="K165" s="13"/>
    </row>
    <row r="166" spans="1:11" ht="16.2" thickBot="1" x14ac:dyDescent="0.35">
      <c r="A166" s="17">
        <v>94</v>
      </c>
      <c r="B166" s="13" t="s">
        <v>804</v>
      </c>
      <c r="C166" s="262"/>
      <c r="D166" s="13">
        <v>5784</v>
      </c>
      <c r="E166" s="13">
        <v>3000</v>
      </c>
      <c r="F166" s="13">
        <v>2000</v>
      </c>
      <c r="G166" s="13"/>
      <c r="H166" s="13"/>
      <c r="I166" s="13">
        <f t="shared" si="19"/>
        <v>5000</v>
      </c>
      <c r="J166" s="13">
        <f t="shared" si="23"/>
        <v>784</v>
      </c>
      <c r="K166" s="6" t="s">
        <v>1395</v>
      </c>
    </row>
    <row r="167" spans="1:11" ht="16.2" thickBot="1" x14ac:dyDescent="0.35">
      <c r="A167" s="17">
        <v>95</v>
      </c>
      <c r="B167" s="260" t="s">
        <v>416</v>
      </c>
      <c r="C167" s="261">
        <v>2893</v>
      </c>
      <c r="D167" s="13">
        <v>5784</v>
      </c>
      <c r="E167" s="13">
        <v>2800</v>
      </c>
      <c r="F167" s="13"/>
      <c r="G167" s="13"/>
      <c r="H167" s="13"/>
      <c r="I167" s="13">
        <f t="shared" si="19"/>
        <v>2800</v>
      </c>
      <c r="J167" s="13">
        <f t="shared" si="23"/>
        <v>2984</v>
      </c>
      <c r="K167" s="13" t="s">
        <v>1395</v>
      </c>
    </row>
    <row r="168" spans="1:11" ht="16.2" thickBot="1" x14ac:dyDescent="0.35">
      <c r="A168" s="17">
        <v>96</v>
      </c>
      <c r="B168" s="20" t="s">
        <v>958</v>
      </c>
      <c r="C168" s="20"/>
      <c r="D168" s="13">
        <v>5784</v>
      </c>
      <c r="E168" s="13"/>
      <c r="F168" s="13"/>
      <c r="G168" s="13"/>
      <c r="H168" s="13"/>
      <c r="I168" s="13">
        <f t="shared" si="19"/>
        <v>0</v>
      </c>
      <c r="J168" s="13">
        <f t="shared" si="23"/>
        <v>5784</v>
      </c>
      <c r="K168" s="20"/>
    </row>
    <row r="169" spans="1:11" ht="16.2" thickBot="1" x14ac:dyDescent="0.35">
      <c r="A169" s="17">
        <v>97</v>
      </c>
      <c r="B169" s="20" t="s">
        <v>423</v>
      </c>
      <c r="C169" s="20"/>
      <c r="D169" s="13">
        <v>5784</v>
      </c>
      <c r="E169" s="13"/>
      <c r="F169" s="13"/>
      <c r="G169" s="13"/>
      <c r="H169" s="13"/>
      <c r="I169" s="13">
        <f t="shared" si="19"/>
        <v>0</v>
      </c>
      <c r="J169" s="13">
        <f t="shared" si="23"/>
        <v>5784</v>
      </c>
      <c r="K169" s="13"/>
    </row>
    <row r="170" spans="1:11" ht="16.2" thickBot="1" x14ac:dyDescent="0.35">
      <c r="A170" s="17">
        <v>98</v>
      </c>
      <c r="B170" s="13" t="s">
        <v>659</v>
      </c>
      <c r="C170" s="262">
        <v>2895</v>
      </c>
      <c r="D170" s="13">
        <v>5784</v>
      </c>
      <c r="E170" s="13"/>
      <c r="F170" s="13"/>
      <c r="G170" s="13"/>
      <c r="H170" s="13"/>
      <c r="I170" s="13">
        <f t="shared" si="19"/>
        <v>0</v>
      </c>
      <c r="J170" s="13">
        <f t="shared" si="23"/>
        <v>5784</v>
      </c>
      <c r="K170" s="13"/>
    </row>
    <row r="171" spans="1:11" ht="16.2" thickBot="1" x14ac:dyDescent="0.35">
      <c r="A171" s="17">
        <v>99</v>
      </c>
      <c r="B171" s="260" t="s">
        <v>389</v>
      </c>
      <c r="C171" s="262"/>
      <c r="D171" s="13">
        <v>5784</v>
      </c>
      <c r="E171" s="13">
        <v>4000</v>
      </c>
      <c r="F171" s="13">
        <v>1000</v>
      </c>
      <c r="G171" s="13"/>
      <c r="H171" s="13"/>
      <c r="I171" s="13">
        <f t="shared" si="19"/>
        <v>5000</v>
      </c>
      <c r="J171" s="13">
        <f t="shared" si="23"/>
        <v>784</v>
      </c>
      <c r="K171" s="13"/>
    </row>
    <row r="172" spans="1:11" ht="16.2" thickBot="1" x14ac:dyDescent="0.35">
      <c r="A172" s="17">
        <v>100</v>
      </c>
      <c r="B172" s="260" t="s">
        <v>1761</v>
      </c>
      <c r="C172" s="262">
        <v>3709</v>
      </c>
      <c r="D172" s="13">
        <v>7824</v>
      </c>
      <c r="E172" s="13">
        <v>2784</v>
      </c>
      <c r="F172" s="13"/>
      <c r="G172" s="13"/>
      <c r="H172" s="13"/>
      <c r="I172" s="13">
        <f t="shared" si="19"/>
        <v>2784</v>
      </c>
      <c r="J172" s="13">
        <f t="shared" si="23"/>
        <v>5040</v>
      </c>
      <c r="K172" s="13" t="s">
        <v>1646</v>
      </c>
    </row>
    <row r="173" spans="1:11" ht="16.2" thickBot="1" x14ac:dyDescent="0.35">
      <c r="A173" s="17">
        <v>101</v>
      </c>
      <c r="B173" s="13" t="s">
        <v>739</v>
      </c>
      <c r="C173" s="262"/>
      <c r="D173" s="13">
        <v>5784</v>
      </c>
      <c r="E173" s="13">
        <v>3500</v>
      </c>
      <c r="F173" s="13"/>
      <c r="G173" s="13"/>
      <c r="H173" s="13"/>
      <c r="I173" s="13">
        <f t="shared" si="19"/>
        <v>3500</v>
      </c>
      <c r="J173" s="13">
        <f t="shared" si="23"/>
        <v>2284</v>
      </c>
      <c r="K173" s="13" t="s">
        <v>1395</v>
      </c>
    </row>
    <row r="174" spans="1:11" ht="16.2" thickBot="1" x14ac:dyDescent="0.35">
      <c r="A174" s="17">
        <v>102</v>
      </c>
      <c r="B174" s="260" t="s">
        <v>444</v>
      </c>
      <c r="C174" s="262">
        <v>2879</v>
      </c>
      <c r="D174" s="13">
        <v>5784</v>
      </c>
      <c r="E174" s="13"/>
      <c r="F174" s="13"/>
      <c r="G174" s="13"/>
      <c r="H174" s="13"/>
      <c r="I174" s="13">
        <f t="shared" si="19"/>
        <v>0</v>
      </c>
      <c r="J174" s="13">
        <f t="shared" si="23"/>
        <v>5784</v>
      </c>
      <c r="K174" s="13"/>
    </row>
    <row r="175" spans="1:11" ht="16.2" thickBot="1" x14ac:dyDescent="0.35">
      <c r="A175" s="17">
        <v>103</v>
      </c>
      <c r="B175" s="260" t="s">
        <v>433</v>
      </c>
      <c r="C175" s="261">
        <v>2933</v>
      </c>
      <c r="D175" s="13">
        <v>5784</v>
      </c>
      <c r="E175" s="13"/>
      <c r="F175" s="13"/>
      <c r="G175" s="13"/>
      <c r="H175" s="13"/>
      <c r="I175" s="13">
        <f t="shared" si="19"/>
        <v>0</v>
      </c>
      <c r="J175" s="13">
        <f t="shared" si="23"/>
        <v>5784</v>
      </c>
      <c r="K175" s="13"/>
    </row>
    <row r="176" spans="1:11" ht="16.2" thickBot="1" x14ac:dyDescent="0.35">
      <c r="A176" s="17">
        <v>104</v>
      </c>
      <c r="B176" s="562" t="s">
        <v>403</v>
      </c>
      <c r="C176" s="563">
        <v>2898</v>
      </c>
      <c r="D176" s="562">
        <v>5784</v>
      </c>
      <c r="E176" s="562">
        <v>5784</v>
      </c>
      <c r="F176" s="562"/>
      <c r="G176" s="562"/>
      <c r="H176" s="562"/>
      <c r="I176" s="562">
        <f t="shared" si="19"/>
        <v>5784</v>
      </c>
      <c r="J176" s="562">
        <f t="shared" si="23"/>
        <v>0</v>
      </c>
      <c r="K176" s="562" t="s">
        <v>1753</v>
      </c>
    </row>
    <row r="177" spans="1:11" ht="16.2" thickBot="1" x14ac:dyDescent="0.35">
      <c r="A177" s="17">
        <v>105</v>
      </c>
      <c r="B177" s="260" t="s">
        <v>421</v>
      </c>
      <c r="C177" s="261">
        <v>2902</v>
      </c>
      <c r="D177" s="13">
        <v>5784</v>
      </c>
      <c r="E177" s="13"/>
      <c r="F177" s="13"/>
      <c r="G177" s="13"/>
      <c r="H177" s="13"/>
      <c r="I177" s="13">
        <f t="shared" si="19"/>
        <v>0</v>
      </c>
      <c r="J177" s="13">
        <f t="shared" si="23"/>
        <v>5784</v>
      </c>
      <c r="K177" s="13"/>
    </row>
    <row r="178" spans="1:11" ht="16.2" thickBot="1" x14ac:dyDescent="0.35">
      <c r="A178" s="17">
        <v>106</v>
      </c>
      <c r="B178" s="20" t="s">
        <v>979</v>
      </c>
      <c r="C178" s="20"/>
      <c r="D178" s="13">
        <v>5784</v>
      </c>
      <c r="E178" s="13"/>
      <c r="F178" s="13"/>
      <c r="G178" s="13"/>
      <c r="H178" s="13"/>
      <c r="I178" s="13">
        <f t="shared" si="19"/>
        <v>0</v>
      </c>
      <c r="J178" s="13">
        <f t="shared" si="23"/>
        <v>5784</v>
      </c>
      <c r="K178" s="20"/>
    </row>
    <row r="179" spans="1:11" ht="16.2" thickBot="1" x14ac:dyDescent="0.35">
      <c r="A179" s="17">
        <v>107</v>
      </c>
      <c r="B179" s="13" t="s">
        <v>529</v>
      </c>
      <c r="C179" s="262">
        <v>3208</v>
      </c>
      <c r="D179" s="13">
        <v>5784</v>
      </c>
      <c r="E179" s="13">
        <v>5784</v>
      </c>
      <c r="F179" s="13"/>
      <c r="G179" s="13"/>
      <c r="H179" s="13"/>
      <c r="I179" s="13">
        <f t="shared" si="19"/>
        <v>5784</v>
      </c>
      <c r="J179" s="13">
        <f t="shared" si="23"/>
        <v>0</v>
      </c>
      <c r="K179" s="13" t="s">
        <v>1395</v>
      </c>
    </row>
    <row r="180" spans="1:11" ht="16.2" thickBot="1" x14ac:dyDescent="0.35">
      <c r="A180" s="17">
        <v>108</v>
      </c>
      <c r="B180" s="260" t="s">
        <v>477</v>
      </c>
      <c r="C180" s="261">
        <v>2901</v>
      </c>
      <c r="D180" s="13">
        <v>5784</v>
      </c>
      <c r="E180" s="13">
        <v>3000</v>
      </c>
      <c r="F180" s="13"/>
      <c r="G180" s="13"/>
      <c r="H180" s="13"/>
      <c r="I180" s="13">
        <f t="shared" si="19"/>
        <v>3000</v>
      </c>
      <c r="J180" s="13">
        <f t="shared" si="23"/>
        <v>2784</v>
      </c>
      <c r="K180" s="351" t="s">
        <v>1395</v>
      </c>
    </row>
    <row r="181" spans="1:11" ht="16.2" thickBot="1" x14ac:dyDescent="0.35">
      <c r="A181" s="17">
        <v>109</v>
      </c>
      <c r="B181" s="13" t="s">
        <v>388</v>
      </c>
      <c r="C181" s="261"/>
      <c r="D181" s="13">
        <v>5784</v>
      </c>
      <c r="E181" s="13">
        <v>1600</v>
      </c>
      <c r="F181" s="13">
        <v>4184</v>
      </c>
      <c r="G181" s="13"/>
      <c r="H181" s="13"/>
      <c r="I181" s="13">
        <f t="shared" si="19"/>
        <v>5784</v>
      </c>
      <c r="J181" s="13">
        <f t="shared" si="23"/>
        <v>0</v>
      </c>
      <c r="K181" s="13" t="s">
        <v>1395</v>
      </c>
    </row>
    <row r="182" spans="1:11" ht="16.2" thickBot="1" x14ac:dyDescent="0.35">
      <c r="A182" s="17">
        <v>110</v>
      </c>
      <c r="B182" s="20" t="s">
        <v>117</v>
      </c>
      <c r="C182" s="262">
        <v>2902</v>
      </c>
      <c r="D182" s="13">
        <v>5784</v>
      </c>
      <c r="E182" s="13">
        <v>640</v>
      </c>
      <c r="F182" s="13"/>
      <c r="G182" s="13"/>
      <c r="H182" s="13"/>
      <c r="I182" s="13">
        <f t="shared" si="19"/>
        <v>640</v>
      </c>
      <c r="J182" s="13">
        <f t="shared" si="23"/>
        <v>5144</v>
      </c>
      <c r="K182" s="13" t="s">
        <v>1395</v>
      </c>
    </row>
    <row r="183" spans="1:11" ht="16.2" thickBot="1" x14ac:dyDescent="0.35">
      <c r="A183" s="17">
        <v>111</v>
      </c>
      <c r="B183" s="13" t="s">
        <v>805</v>
      </c>
      <c r="C183" s="262">
        <v>3237</v>
      </c>
      <c r="D183" s="13">
        <v>5784</v>
      </c>
      <c r="E183" s="13">
        <v>2000</v>
      </c>
      <c r="F183" s="13">
        <v>3785</v>
      </c>
      <c r="G183" s="13"/>
      <c r="H183" s="13"/>
      <c r="I183" s="13">
        <f t="shared" si="19"/>
        <v>5785</v>
      </c>
      <c r="J183" s="13">
        <f t="shared" si="23"/>
        <v>-1</v>
      </c>
      <c r="K183" s="13" t="s">
        <v>1395</v>
      </c>
    </row>
    <row r="184" spans="1:11" ht="16.2" thickBot="1" x14ac:dyDescent="0.35">
      <c r="A184" s="17">
        <v>112</v>
      </c>
      <c r="B184" s="13" t="s">
        <v>1566</v>
      </c>
      <c r="C184" s="262">
        <v>3712</v>
      </c>
      <c r="D184" s="13">
        <v>7824</v>
      </c>
      <c r="E184" s="13">
        <v>3500</v>
      </c>
      <c r="F184" s="13"/>
      <c r="G184" s="478" t="s">
        <v>1626</v>
      </c>
      <c r="H184" s="13"/>
      <c r="I184" s="13">
        <f t="shared" si="19"/>
        <v>3500</v>
      </c>
      <c r="J184" s="13">
        <f>D184-I184</f>
        <v>4324</v>
      </c>
      <c r="K184" s="13" t="s">
        <v>1588</v>
      </c>
    </row>
    <row r="185" spans="1:11" ht="16.2" thickBot="1" x14ac:dyDescent="0.35">
      <c r="A185" s="17">
        <v>113</v>
      </c>
      <c r="B185" s="13" t="s">
        <v>425</v>
      </c>
      <c r="C185" s="261">
        <v>2904</v>
      </c>
      <c r="D185" s="13">
        <v>5784</v>
      </c>
      <c r="E185" s="13">
        <v>2084</v>
      </c>
      <c r="F185" s="13">
        <v>3700</v>
      </c>
      <c r="G185" s="13"/>
      <c r="H185" s="13"/>
      <c r="I185" s="13">
        <f t="shared" si="19"/>
        <v>5784</v>
      </c>
      <c r="J185" s="13">
        <f t="shared" si="23"/>
        <v>0</v>
      </c>
      <c r="K185" s="13"/>
    </row>
    <row r="186" spans="1:11" ht="16.2" thickBot="1" x14ac:dyDescent="0.35">
      <c r="A186" s="17">
        <v>114</v>
      </c>
      <c r="B186" s="260" t="s">
        <v>427</v>
      </c>
      <c r="C186" s="262">
        <v>2905</v>
      </c>
      <c r="D186" s="13">
        <v>5784</v>
      </c>
      <c r="E186" s="13"/>
      <c r="F186" s="13"/>
      <c r="G186" s="13"/>
      <c r="H186" s="13"/>
      <c r="I186" s="13">
        <f t="shared" si="19"/>
        <v>0</v>
      </c>
      <c r="J186" s="13">
        <f t="shared" si="23"/>
        <v>5784</v>
      </c>
      <c r="K186" s="13"/>
    </row>
    <row r="187" spans="1:11" ht="16.2" thickBot="1" x14ac:dyDescent="0.35">
      <c r="A187" s="17">
        <v>115</v>
      </c>
      <c r="B187" s="13" t="s">
        <v>424</v>
      </c>
      <c r="C187" s="261">
        <v>2906</v>
      </c>
      <c r="D187" s="13">
        <v>5784</v>
      </c>
      <c r="E187" s="13">
        <v>3000</v>
      </c>
      <c r="F187" s="13"/>
      <c r="G187" s="13"/>
      <c r="H187" s="13"/>
      <c r="I187" s="13">
        <f t="shared" si="19"/>
        <v>3000</v>
      </c>
      <c r="J187" s="13">
        <f t="shared" si="23"/>
        <v>2784</v>
      </c>
      <c r="K187" s="13" t="s">
        <v>1395</v>
      </c>
    </row>
    <row r="188" spans="1:11" ht="16.2" thickBot="1" x14ac:dyDescent="0.35">
      <c r="A188" s="17">
        <v>116</v>
      </c>
      <c r="B188" s="20" t="s">
        <v>976</v>
      </c>
      <c r="C188" s="20"/>
      <c r="D188" s="13">
        <v>5784</v>
      </c>
      <c r="E188" s="13">
        <v>2900</v>
      </c>
      <c r="F188" s="13"/>
      <c r="G188" s="13"/>
      <c r="H188" s="13"/>
      <c r="I188" s="13">
        <f t="shared" si="19"/>
        <v>2900</v>
      </c>
      <c r="J188" s="13">
        <f t="shared" si="23"/>
        <v>2884</v>
      </c>
      <c r="K188" s="13" t="s">
        <v>1395</v>
      </c>
    </row>
    <row r="189" spans="1:11" ht="16.2" thickBot="1" x14ac:dyDescent="0.35">
      <c r="A189" s="17">
        <v>117</v>
      </c>
      <c r="B189" s="13" t="s">
        <v>432</v>
      </c>
      <c r="C189" s="262">
        <v>2909</v>
      </c>
      <c r="D189" s="13">
        <v>5784</v>
      </c>
      <c r="E189" s="13">
        <v>640</v>
      </c>
      <c r="F189" s="13"/>
      <c r="G189" s="13"/>
      <c r="H189" s="13"/>
      <c r="I189" s="13">
        <f t="shared" si="19"/>
        <v>640</v>
      </c>
      <c r="J189" s="13">
        <f t="shared" si="23"/>
        <v>5144</v>
      </c>
      <c r="K189" s="13"/>
    </row>
    <row r="190" spans="1:11" ht="16.2" thickBot="1" x14ac:dyDescent="0.35">
      <c r="A190" s="17">
        <v>118</v>
      </c>
      <c r="B190" s="165" t="s">
        <v>1215</v>
      </c>
      <c r="C190" s="164">
        <v>2875</v>
      </c>
      <c r="D190" s="347">
        <v>5784</v>
      </c>
      <c r="E190" s="83">
        <v>5784</v>
      </c>
      <c r="F190" s="83"/>
      <c r="G190" s="83"/>
      <c r="H190" s="83"/>
      <c r="I190" s="13">
        <f t="shared" si="19"/>
        <v>5784</v>
      </c>
      <c r="J190" s="83">
        <f>D190-E190-F190-G190-H190</f>
        <v>0</v>
      </c>
      <c r="K190" s="84"/>
    </row>
    <row r="191" spans="1:11" ht="16.2" thickBot="1" x14ac:dyDescent="0.35">
      <c r="A191" s="17">
        <v>119</v>
      </c>
      <c r="B191" s="128" t="s">
        <v>1372</v>
      </c>
      <c r="C191" s="129">
        <v>3533</v>
      </c>
      <c r="D191" s="348">
        <v>7824</v>
      </c>
      <c r="E191" s="74">
        <v>2040</v>
      </c>
      <c r="F191" s="74">
        <v>3533</v>
      </c>
      <c r="G191" s="74">
        <v>2251</v>
      </c>
      <c r="H191" s="74"/>
      <c r="I191" s="13">
        <f t="shared" si="19"/>
        <v>7824</v>
      </c>
      <c r="J191" s="74">
        <f>D191-E191-F191-G191-H191</f>
        <v>0</v>
      </c>
      <c r="K191" s="75" t="s">
        <v>1625</v>
      </c>
    </row>
    <row r="192" spans="1:11" ht="15.6" x14ac:dyDescent="0.3">
      <c r="A192" s="43"/>
      <c r="B192" s="43"/>
      <c r="C192" s="43"/>
      <c r="D192" s="495">
        <f>SUM(D73:D191)</f>
        <v>699254</v>
      </c>
      <c r="E192" s="495">
        <f t="shared" ref="E192:J192" si="24">SUM(E73:E191)</f>
        <v>236812</v>
      </c>
      <c r="F192" s="495">
        <f t="shared" si="24"/>
        <v>59249</v>
      </c>
      <c r="G192" s="495">
        <f t="shared" si="24"/>
        <v>9475</v>
      </c>
      <c r="H192" s="495">
        <f t="shared" si="24"/>
        <v>284</v>
      </c>
      <c r="I192" s="495">
        <f t="shared" si="24"/>
        <v>300035</v>
      </c>
      <c r="J192" s="495">
        <f t="shared" si="24"/>
        <v>393434</v>
      </c>
      <c r="K192" s="43"/>
    </row>
    <row r="193" spans="1:12" ht="15.6" x14ac:dyDescent="0.3">
      <c r="A193" s="87"/>
      <c r="B193" s="87"/>
      <c r="C193" s="87"/>
      <c r="D193" s="88"/>
      <c r="E193" s="88"/>
      <c r="F193" s="88"/>
      <c r="G193" s="88"/>
      <c r="H193" s="88"/>
      <c r="I193" s="88"/>
      <c r="J193" s="88"/>
      <c r="K193" s="87"/>
    </row>
    <row r="194" spans="1:12" ht="16.2" thickBot="1" x14ac:dyDescent="0.35">
      <c r="A194" s="137" t="s">
        <v>1306</v>
      </c>
      <c r="B194" s="79"/>
      <c r="C194" s="80"/>
      <c r="D194" s="80"/>
      <c r="E194" s="80"/>
      <c r="F194" s="80"/>
      <c r="G194" s="80"/>
      <c r="H194" s="80"/>
      <c r="I194" s="80"/>
      <c r="J194" s="80"/>
      <c r="K194" s="86"/>
    </row>
    <row r="195" spans="1:12" ht="27.6" thickBot="1" x14ac:dyDescent="0.35">
      <c r="A195" s="16" t="s">
        <v>0</v>
      </c>
      <c r="B195" s="8" t="s">
        <v>1</v>
      </c>
      <c r="C195" s="16" t="s">
        <v>2</v>
      </c>
      <c r="D195" s="69" t="s">
        <v>854</v>
      </c>
      <c r="E195" s="580" t="s">
        <v>855</v>
      </c>
      <c r="F195" s="581"/>
      <c r="G195" s="581"/>
      <c r="H195" s="582"/>
      <c r="I195" s="111"/>
      <c r="J195" s="70" t="s">
        <v>856</v>
      </c>
      <c r="K195" s="8" t="s">
        <v>3</v>
      </c>
    </row>
    <row r="196" spans="1:12" s="49" customFormat="1" ht="16.2" thickBot="1" x14ac:dyDescent="0.35">
      <c r="A196" s="28">
        <v>1</v>
      </c>
      <c r="B196" s="27" t="s">
        <v>709</v>
      </c>
      <c r="C196" s="28">
        <v>1941</v>
      </c>
      <c r="D196" s="6">
        <v>5316</v>
      </c>
      <c r="E196" s="6">
        <v>1850</v>
      </c>
      <c r="F196" s="6"/>
      <c r="G196" s="6"/>
      <c r="H196" s="6"/>
      <c r="I196" s="6">
        <f>SUM(E196:H196)</f>
        <v>1850</v>
      </c>
      <c r="J196" s="6">
        <f>D196-E196-F196-G196-H196</f>
        <v>3466</v>
      </c>
      <c r="K196" s="13" t="s">
        <v>1395</v>
      </c>
    </row>
    <row r="197" spans="1:12" s="49" customFormat="1" ht="16.2" thickBot="1" x14ac:dyDescent="0.35">
      <c r="A197" s="28">
        <v>2</v>
      </c>
      <c r="B197" s="31" t="s">
        <v>163</v>
      </c>
      <c r="C197" s="29">
        <v>1943</v>
      </c>
      <c r="D197" s="6">
        <v>5316</v>
      </c>
      <c r="E197" s="6">
        <v>3000</v>
      </c>
      <c r="F197" s="6">
        <v>2100</v>
      </c>
      <c r="G197" s="6"/>
      <c r="H197" s="6"/>
      <c r="I197" s="6">
        <f t="shared" ref="I197:I261" si="25">SUM(E197:H197)</f>
        <v>5100</v>
      </c>
      <c r="J197" s="6">
        <f t="shared" ref="J197:J198" si="26">D197-E197-F197-G197-H197</f>
        <v>216</v>
      </c>
      <c r="K197" s="6"/>
    </row>
    <row r="198" spans="1:12" s="49" customFormat="1" ht="16.2" thickBot="1" x14ac:dyDescent="0.35">
      <c r="A198" s="28">
        <v>3</v>
      </c>
      <c r="B198" s="47" t="s">
        <v>130</v>
      </c>
      <c r="C198" s="28">
        <v>1944</v>
      </c>
      <c r="D198" s="6">
        <v>5316</v>
      </c>
      <c r="E198" s="6">
        <v>2500</v>
      </c>
      <c r="F198" s="6">
        <v>2815</v>
      </c>
      <c r="G198" s="6"/>
      <c r="H198" s="6"/>
      <c r="I198" s="6">
        <f t="shared" si="25"/>
        <v>5315</v>
      </c>
      <c r="J198" s="6">
        <f t="shared" si="26"/>
        <v>1</v>
      </c>
      <c r="K198" s="13" t="s">
        <v>1395</v>
      </c>
    </row>
    <row r="199" spans="1:12" s="49" customFormat="1" ht="16.2" thickBot="1" x14ac:dyDescent="0.35">
      <c r="A199" s="28">
        <v>4</v>
      </c>
      <c r="B199" s="31" t="s">
        <v>66</v>
      </c>
      <c r="C199" s="29">
        <v>1946</v>
      </c>
      <c r="D199" s="6">
        <v>5316</v>
      </c>
      <c r="E199" s="6">
        <v>2800</v>
      </c>
      <c r="F199" s="6">
        <v>1516</v>
      </c>
      <c r="G199" s="6">
        <v>1000</v>
      </c>
      <c r="H199" s="6"/>
      <c r="I199" s="6">
        <f t="shared" si="25"/>
        <v>5316</v>
      </c>
      <c r="J199" s="6">
        <f t="shared" ref="J199:J262" si="27">D199-E199-F199-G199-H199</f>
        <v>0</v>
      </c>
      <c r="K199" s="6" t="s">
        <v>1723</v>
      </c>
    </row>
    <row r="200" spans="1:12" s="49" customFormat="1" ht="16.2" thickBot="1" x14ac:dyDescent="0.35">
      <c r="A200" s="28">
        <v>5</v>
      </c>
      <c r="B200" s="31" t="s">
        <v>59</v>
      </c>
      <c r="C200" s="29">
        <v>1948</v>
      </c>
      <c r="D200" s="6">
        <v>5316</v>
      </c>
      <c r="E200" s="6"/>
      <c r="F200" s="6"/>
      <c r="G200" s="6"/>
      <c r="H200" s="6"/>
      <c r="I200" s="6">
        <f t="shared" si="25"/>
        <v>0</v>
      </c>
      <c r="J200" s="6">
        <f t="shared" si="27"/>
        <v>5316</v>
      </c>
      <c r="K200" s="6"/>
    </row>
    <row r="201" spans="1:12" s="49" customFormat="1" ht="16.2" thickBot="1" x14ac:dyDescent="0.35">
      <c r="A201" s="28">
        <v>6</v>
      </c>
      <c r="B201" s="27" t="s">
        <v>707</v>
      </c>
      <c r="C201" s="28">
        <v>1950</v>
      </c>
      <c r="D201" s="6">
        <v>5316</v>
      </c>
      <c r="E201" s="6">
        <v>2030</v>
      </c>
      <c r="F201" s="6"/>
      <c r="G201" s="6"/>
      <c r="H201" s="6"/>
      <c r="I201" s="6">
        <f t="shared" si="25"/>
        <v>2030</v>
      </c>
      <c r="J201" s="6">
        <f t="shared" si="27"/>
        <v>3286</v>
      </c>
      <c r="K201" s="6" t="s">
        <v>1395</v>
      </c>
    </row>
    <row r="202" spans="1:12" s="49" customFormat="1" ht="16.2" thickBot="1" x14ac:dyDescent="0.35">
      <c r="A202" s="28">
        <v>7</v>
      </c>
      <c r="B202" s="47" t="s">
        <v>120</v>
      </c>
      <c r="C202" s="29">
        <v>1952</v>
      </c>
      <c r="D202" s="6">
        <v>5316</v>
      </c>
      <c r="E202" s="6">
        <v>3000</v>
      </c>
      <c r="F202" s="6"/>
      <c r="G202" s="6"/>
      <c r="H202" s="6"/>
      <c r="I202" s="6">
        <f t="shared" si="25"/>
        <v>3000</v>
      </c>
      <c r="J202" s="6">
        <f t="shared" si="27"/>
        <v>2316</v>
      </c>
      <c r="K202" s="6" t="s">
        <v>1395</v>
      </c>
    </row>
    <row r="203" spans="1:12" s="49" customFormat="1" ht="16.2" thickBot="1" x14ac:dyDescent="0.35">
      <c r="A203" s="28">
        <v>8</v>
      </c>
      <c r="B203" s="27" t="s">
        <v>888</v>
      </c>
      <c r="C203" s="29">
        <v>1955</v>
      </c>
      <c r="D203" s="6">
        <v>5316</v>
      </c>
      <c r="E203" s="6">
        <v>4316</v>
      </c>
      <c r="F203" s="6">
        <v>1000</v>
      </c>
      <c r="G203" s="6"/>
      <c r="H203" s="6"/>
      <c r="I203" s="6">
        <f t="shared" si="25"/>
        <v>5316</v>
      </c>
      <c r="J203" s="6">
        <f t="shared" si="27"/>
        <v>0</v>
      </c>
      <c r="K203" s="6" t="s">
        <v>1395</v>
      </c>
    </row>
    <row r="204" spans="1:12" s="49" customFormat="1" ht="16.2" thickBot="1" x14ac:dyDescent="0.35">
      <c r="A204" s="28">
        <v>9</v>
      </c>
      <c r="B204" s="31" t="s">
        <v>80</v>
      </c>
      <c r="C204" s="29">
        <v>1956</v>
      </c>
      <c r="D204" s="6">
        <v>5316</v>
      </c>
      <c r="E204" s="6">
        <v>2700</v>
      </c>
      <c r="F204" s="6"/>
      <c r="G204" s="6"/>
      <c r="H204" s="6"/>
      <c r="I204" s="6">
        <f t="shared" si="25"/>
        <v>2700</v>
      </c>
      <c r="J204" s="6">
        <f t="shared" si="27"/>
        <v>2616</v>
      </c>
      <c r="K204" s="6" t="s">
        <v>1395</v>
      </c>
    </row>
    <row r="205" spans="1:12" s="49" customFormat="1" ht="16.2" thickBot="1" x14ac:dyDescent="0.35">
      <c r="A205" s="28">
        <v>10</v>
      </c>
      <c r="B205" s="47" t="s">
        <v>157</v>
      </c>
      <c r="C205" s="28">
        <v>1961</v>
      </c>
      <c r="D205" s="6">
        <v>5316</v>
      </c>
      <c r="E205" s="6">
        <v>2000</v>
      </c>
      <c r="F205" s="6"/>
      <c r="G205" s="6"/>
      <c r="H205" s="6"/>
      <c r="I205" s="6">
        <f t="shared" si="25"/>
        <v>2000</v>
      </c>
      <c r="J205" s="6">
        <f t="shared" si="27"/>
        <v>3316</v>
      </c>
      <c r="K205" s="13" t="s">
        <v>1395</v>
      </c>
    </row>
    <row r="206" spans="1:12" s="49" customFormat="1" ht="16.2" thickBot="1" x14ac:dyDescent="0.35">
      <c r="A206" s="28">
        <v>11</v>
      </c>
      <c r="B206" s="31" t="s">
        <v>77</v>
      </c>
      <c r="C206" s="29">
        <v>1962</v>
      </c>
      <c r="D206" s="6">
        <v>5316</v>
      </c>
      <c r="E206" s="6">
        <v>2950</v>
      </c>
      <c r="F206" s="6"/>
      <c r="G206" s="6"/>
      <c r="H206" s="6"/>
      <c r="I206" s="6">
        <f t="shared" si="25"/>
        <v>2950</v>
      </c>
      <c r="J206" s="6">
        <f t="shared" si="27"/>
        <v>2366</v>
      </c>
      <c r="K206" s="6" t="s">
        <v>1395</v>
      </c>
      <c r="L206" s="49" t="s">
        <v>1725</v>
      </c>
    </row>
    <row r="207" spans="1:12" s="49" customFormat="1" ht="16.2" thickBot="1" x14ac:dyDescent="0.35">
      <c r="A207" s="28">
        <v>12</v>
      </c>
      <c r="B207" s="47" t="s">
        <v>139</v>
      </c>
      <c r="C207" s="28">
        <v>1963</v>
      </c>
      <c r="D207" s="6">
        <v>5316</v>
      </c>
      <c r="E207" s="6">
        <v>1500</v>
      </c>
      <c r="F207" s="6"/>
      <c r="G207" s="6"/>
      <c r="H207" s="6"/>
      <c r="I207" s="6">
        <f t="shared" si="25"/>
        <v>1500</v>
      </c>
      <c r="J207" s="6">
        <f t="shared" si="27"/>
        <v>3816</v>
      </c>
      <c r="K207" s="6" t="s">
        <v>1395</v>
      </c>
    </row>
    <row r="208" spans="1:12" s="49" customFormat="1" ht="16.2" thickBot="1" x14ac:dyDescent="0.35">
      <c r="A208" s="28">
        <v>13</v>
      </c>
      <c r="B208" s="47" t="s">
        <v>122</v>
      </c>
      <c r="C208" s="29">
        <v>1965</v>
      </c>
      <c r="D208" s="6">
        <v>5316</v>
      </c>
      <c r="E208" s="6">
        <v>3200</v>
      </c>
      <c r="F208" s="6"/>
      <c r="G208" s="281"/>
      <c r="H208" s="6"/>
      <c r="I208" s="6">
        <f t="shared" si="25"/>
        <v>3200</v>
      </c>
      <c r="J208" s="6">
        <f t="shared" si="27"/>
        <v>2116</v>
      </c>
      <c r="K208" s="293" t="s">
        <v>1395</v>
      </c>
    </row>
    <row r="209" spans="1:11" s="49" customFormat="1" ht="16.2" thickBot="1" x14ac:dyDescent="0.35">
      <c r="A209" s="28">
        <v>14</v>
      </c>
      <c r="B209" s="27" t="s">
        <v>295</v>
      </c>
      <c r="C209" s="28">
        <v>1967</v>
      </c>
      <c r="D209" s="6">
        <v>5316</v>
      </c>
      <c r="E209" s="6"/>
      <c r="F209" s="6"/>
      <c r="G209" s="6"/>
      <c r="H209" s="6"/>
      <c r="I209" s="6">
        <f t="shared" si="25"/>
        <v>0</v>
      </c>
      <c r="J209" s="6">
        <f t="shared" si="27"/>
        <v>5316</v>
      </c>
      <c r="K209" s="13" t="s">
        <v>1576</v>
      </c>
    </row>
    <row r="210" spans="1:11" s="49" customFormat="1" ht="16.2" thickBot="1" x14ac:dyDescent="0.35">
      <c r="A210" s="28">
        <v>15</v>
      </c>
      <c r="B210" s="467" t="s">
        <v>119</v>
      </c>
      <c r="C210" s="29">
        <v>1969</v>
      </c>
      <c r="D210" s="6">
        <v>5316</v>
      </c>
      <c r="E210" s="6">
        <v>3000</v>
      </c>
      <c r="F210" s="6"/>
      <c r="G210" s="6"/>
      <c r="H210" s="6"/>
      <c r="I210" s="6">
        <f t="shared" si="25"/>
        <v>3000</v>
      </c>
      <c r="J210" s="6">
        <f t="shared" si="27"/>
        <v>2316</v>
      </c>
      <c r="K210" s="281" t="s">
        <v>1395</v>
      </c>
    </row>
    <row r="211" spans="1:11" s="49" customFormat="1" ht="16.2" thickBot="1" x14ac:dyDescent="0.35">
      <c r="A211" s="28">
        <v>16</v>
      </c>
      <c r="B211" s="47" t="s">
        <v>156</v>
      </c>
      <c r="C211" s="28">
        <v>1970</v>
      </c>
      <c r="D211" s="6">
        <v>5316</v>
      </c>
      <c r="E211" s="6">
        <v>3500</v>
      </c>
      <c r="F211" s="6"/>
      <c r="G211" s="6"/>
      <c r="H211" s="6"/>
      <c r="I211" s="6">
        <f t="shared" si="25"/>
        <v>3500</v>
      </c>
      <c r="J211" s="6">
        <f t="shared" si="27"/>
        <v>1816</v>
      </c>
      <c r="K211" s="281"/>
    </row>
    <row r="212" spans="1:11" s="49" customFormat="1" ht="16.2" thickBot="1" x14ac:dyDescent="0.35">
      <c r="A212" s="28">
        <v>17</v>
      </c>
      <c r="B212" s="27" t="s">
        <v>29</v>
      </c>
      <c r="C212" s="29">
        <v>1971</v>
      </c>
      <c r="D212" s="6">
        <v>5316</v>
      </c>
      <c r="E212" s="6">
        <v>1000</v>
      </c>
      <c r="F212" s="6">
        <v>3400</v>
      </c>
      <c r="G212" s="6">
        <v>916</v>
      </c>
      <c r="H212" s="6"/>
      <c r="I212" s="6">
        <f t="shared" si="25"/>
        <v>5316</v>
      </c>
      <c r="J212" s="6">
        <f t="shared" si="27"/>
        <v>0</v>
      </c>
      <c r="K212" s="281" t="s">
        <v>1395</v>
      </c>
    </row>
    <row r="213" spans="1:11" s="49" customFormat="1" ht="16.2" thickBot="1" x14ac:dyDescent="0.35">
      <c r="A213" s="28">
        <v>18</v>
      </c>
      <c r="B213" s="47" t="s">
        <v>126</v>
      </c>
      <c r="C213" s="29">
        <v>1972</v>
      </c>
      <c r="D213" s="6">
        <v>5316</v>
      </c>
      <c r="E213" s="6">
        <v>5316</v>
      </c>
      <c r="F213" s="6"/>
      <c r="G213" s="6"/>
      <c r="H213" s="6"/>
      <c r="I213" s="6">
        <f t="shared" si="25"/>
        <v>5316</v>
      </c>
      <c r="J213" s="6">
        <f t="shared" si="27"/>
        <v>0</v>
      </c>
      <c r="K213" s="281" t="s">
        <v>1395</v>
      </c>
    </row>
    <row r="214" spans="1:11" s="49" customFormat="1" ht="16.2" thickBot="1" x14ac:dyDescent="0.35">
      <c r="A214" s="28">
        <v>19</v>
      </c>
      <c r="B214" s="31" t="s">
        <v>447</v>
      </c>
      <c r="C214" s="29">
        <v>1974</v>
      </c>
      <c r="D214" s="6">
        <v>5316</v>
      </c>
      <c r="E214" s="6"/>
      <c r="F214" s="6"/>
      <c r="G214" s="6"/>
      <c r="H214" s="6"/>
      <c r="I214" s="6">
        <f t="shared" si="25"/>
        <v>0</v>
      </c>
      <c r="J214" s="6">
        <f t="shared" si="27"/>
        <v>5316</v>
      </c>
      <c r="K214" s="281"/>
    </row>
    <row r="215" spans="1:11" s="49" customFormat="1" ht="16.2" thickBot="1" x14ac:dyDescent="0.35">
      <c r="A215" s="28">
        <v>20</v>
      </c>
      <c r="B215" s="47" t="s">
        <v>164</v>
      </c>
      <c r="C215" s="28">
        <v>1978</v>
      </c>
      <c r="D215" s="6">
        <v>5316</v>
      </c>
      <c r="E215" s="6"/>
      <c r="F215" s="6"/>
      <c r="G215" s="6"/>
      <c r="H215" s="6"/>
      <c r="I215" s="6">
        <f t="shared" si="25"/>
        <v>0</v>
      </c>
      <c r="J215" s="6">
        <f t="shared" si="27"/>
        <v>5316</v>
      </c>
      <c r="K215" s="281"/>
    </row>
    <row r="216" spans="1:11" s="49" customFormat="1" ht="16.2" thickBot="1" x14ac:dyDescent="0.35">
      <c r="A216" s="28">
        <v>21</v>
      </c>
      <c r="B216" s="27" t="s">
        <v>165</v>
      </c>
      <c r="C216" s="29">
        <v>1979</v>
      </c>
      <c r="D216" s="6">
        <v>5316</v>
      </c>
      <c r="E216" s="6"/>
      <c r="F216" s="6"/>
      <c r="G216" s="6"/>
      <c r="H216" s="6"/>
      <c r="I216" s="6">
        <f>SUM(E216:H216)</f>
        <v>0</v>
      </c>
      <c r="J216" s="6">
        <f t="shared" si="27"/>
        <v>5316</v>
      </c>
      <c r="K216" s="281"/>
    </row>
    <row r="217" spans="1:11" s="49" customFormat="1" ht="16.2" thickBot="1" x14ac:dyDescent="0.35">
      <c r="A217" s="28">
        <v>22</v>
      </c>
      <c r="B217" s="47" t="s">
        <v>144</v>
      </c>
      <c r="C217" s="28">
        <v>1980</v>
      </c>
      <c r="D217" s="6">
        <v>5316</v>
      </c>
      <c r="E217" s="6">
        <v>3000</v>
      </c>
      <c r="F217" s="6"/>
      <c r="G217" s="6"/>
      <c r="H217" s="6"/>
      <c r="I217" s="6">
        <f t="shared" si="25"/>
        <v>3000</v>
      </c>
      <c r="J217" s="6">
        <f t="shared" si="27"/>
        <v>2316</v>
      </c>
      <c r="K217" s="281" t="s">
        <v>1395</v>
      </c>
    </row>
    <row r="218" spans="1:11" s="49" customFormat="1" ht="16.2" thickBot="1" x14ac:dyDescent="0.35">
      <c r="A218" s="28">
        <v>23</v>
      </c>
      <c r="B218" s="47" t="s">
        <v>140</v>
      </c>
      <c r="C218" s="28">
        <v>1981</v>
      </c>
      <c r="D218" s="6">
        <v>5316</v>
      </c>
      <c r="E218" s="6">
        <v>1500</v>
      </c>
      <c r="F218" s="6">
        <v>500</v>
      </c>
      <c r="G218" s="6"/>
      <c r="H218" s="6"/>
      <c r="I218" s="6">
        <f t="shared" si="25"/>
        <v>2000</v>
      </c>
      <c r="J218" s="6">
        <f t="shared" si="27"/>
        <v>3316</v>
      </c>
      <c r="K218" s="281" t="s">
        <v>1395</v>
      </c>
    </row>
    <row r="219" spans="1:11" s="49" customFormat="1" ht="16.2" thickBot="1" x14ac:dyDescent="0.35">
      <c r="A219" s="28">
        <v>24</v>
      </c>
      <c r="B219" s="31" t="s">
        <v>57</v>
      </c>
      <c r="C219" s="29">
        <v>1982</v>
      </c>
      <c r="D219" s="6">
        <v>5316</v>
      </c>
      <c r="E219" s="6">
        <v>3000</v>
      </c>
      <c r="F219" s="6">
        <v>2316</v>
      </c>
      <c r="G219" s="6"/>
      <c r="H219" s="6"/>
      <c r="I219" s="6">
        <f t="shared" si="25"/>
        <v>5316</v>
      </c>
      <c r="J219" s="6">
        <f t="shared" si="27"/>
        <v>0</v>
      </c>
      <c r="K219" s="281" t="s">
        <v>1395</v>
      </c>
    </row>
    <row r="220" spans="1:11" s="49" customFormat="1" ht="16.2" thickBot="1" x14ac:dyDescent="0.35">
      <c r="A220" s="28">
        <v>25</v>
      </c>
      <c r="B220" s="31" t="s">
        <v>306</v>
      </c>
      <c r="C220" s="28">
        <v>1983</v>
      </c>
      <c r="D220" s="6">
        <v>5316</v>
      </c>
      <c r="E220" s="6">
        <v>1580</v>
      </c>
      <c r="F220" s="6"/>
      <c r="G220" s="6"/>
      <c r="H220" s="6"/>
      <c r="I220" s="6">
        <f t="shared" si="25"/>
        <v>1580</v>
      </c>
      <c r="J220" s="6">
        <f t="shared" si="27"/>
        <v>3736</v>
      </c>
      <c r="K220" s="281" t="s">
        <v>1655</v>
      </c>
    </row>
    <row r="221" spans="1:11" s="49" customFormat="1" ht="16.2" thickBot="1" x14ac:dyDescent="0.35">
      <c r="A221" s="28">
        <v>26</v>
      </c>
      <c r="B221" s="27" t="s">
        <v>711</v>
      </c>
      <c r="C221" s="28">
        <v>1985</v>
      </c>
      <c r="D221" s="6">
        <v>5316</v>
      </c>
      <c r="E221" s="6">
        <v>2000</v>
      </c>
      <c r="F221" s="6"/>
      <c r="G221" s="6"/>
      <c r="H221" s="6"/>
      <c r="I221" s="6">
        <f t="shared" si="25"/>
        <v>2000</v>
      </c>
      <c r="J221" s="6">
        <f t="shared" si="27"/>
        <v>3316</v>
      </c>
      <c r="K221" s="281"/>
    </row>
    <row r="222" spans="1:11" s="49" customFormat="1" ht="16.2" thickBot="1" x14ac:dyDescent="0.35">
      <c r="A222" s="28">
        <v>27</v>
      </c>
      <c r="B222" s="47" t="s">
        <v>147</v>
      </c>
      <c r="C222" s="28">
        <v>1986</v>
      </c>
      <c r="D222" s="6">
        <v>5316</v>
      </c>
      <c r="E222" s="6">
        <v>1345</v>
      </c>
      <c r="F222" s="6"/>
      <c r="G222" s="6"/>
      <c r="H222" s="6"/>
      <c r="I222" s="6">
        <f t="shared" si="25"/>
        <v>1345</v>
      </c>
      <c r="J222" s="6">
        <v>0</v>
      </c>
      <c r="K222" s="13" t="s">
        <v>1395</v>
      </c>
    </row>
    <row r="223" spans="1:11" s="49" customFormat="1" ht="16.2" thickBot="1" x14ac:dyDescent="0.35">
      <c r="A223" s="28">
        <v>28</v>
      </c>
      <c r="B223" s="47" t="s">
        <v>152</v>
      </c>
      <c r="C223" s="28">
        <v>1987</v>
      </c>
      <c r="D223" s="6">
        <v>5316</v>
      </c>
      <c r="E223" s="6">
        <v>3000</v>
      </c>
      <c r="F223" s="6"/>
      <c r="G223" s="6"/>
      <c r="H223" s="6"/>
      <c r="I223" s="6">
        <f t="shared" si="25"/>
        <v>3000</v>
      </c>
      <c r="J223" s="6">
        <f t="shared" si="27"/>
        <v>2316</v>
      </c>
      <c r="K223" s="281" t="s">
        <v>1395</v>
      </c>
    </row>
    <row r="224" spans="1:11" s="49" customFormat="1" ht="16.2" thickBot="1" x14ac:dyDescent="0.35">
      <c r="A224" s="28">
        <v>29</v>
      </c>
      <c r="B224" s="31" t="s">
        <v>64</v>
      </c>
      <c r="C224" s="29">
        <v>1990</v>
      </c>
      <c r="D224" s="6">
        <v>5316</v>
      </c>
      <c r="E224" s="6"/>
      <c r="F224" s="6"/>
      <c r="G224" s="6"/>
      <c r="H224" s="6"/>
      <c r="I224" s="6">
        <f t="shared" si="25"/>
        <v>0</v>
      </c>
      <c r="J224" s="6">
        <f t="shared" si="27"/>
        <v>5316</v>
      </c>
      <c r="K224" s="281"/>
    </row>
    <row r="225" spans="1:12" s="49" customFormat="1" ht="16.2" thickBot="1" x14ac:dyDescent="0.35">
      <c r="A225" s="28">
        <v>30</v>
      </c>
      <c r="B225" s="47" t="s">
        <v>123</v>
      </c>
      <c r="C225" s="28">
        <v>1993</v>
      </c>
      <c r="D225" s="6">
        <v>5316</v>
      </c>
      <c r="E225" s="6">
        <v>5316</v>
      </c>
      <c r="F225" s="6"/>
      <c r="G225" s="6"/>
      <c r="H225" s="6"/>
      <c r="I225" s="6">
        <f t="shared" si="25"/>
        <v>5316</v>
      </c>
      <c r="J225" s="6">
        <f t="shared" si="27"/>
        <v>0</v>
      </c>
      <c r="K225" s="281"/>
    </row>
    <row r="226" spans="1:12" s="49" customFormat="1" ht="16.2" thickBot="1" x14ac:dyDescent="0.35">
      <c r="A226" s="28">
        <v>31</v>
      </c>
      <c r="B226" s="27" t="s">
        <v>653</v>
      </c>
      <c r="C226" s="28">
        <v>1995</v>
      </c>
      <c r="D226" s="6">
        <v>5316</v>
      </c>
      <c r="E226" s="6">
        <v>5316</v>
      </c>
      <c r="F226" s="6"/>
      <c r="G226" s="6"/>
      <c r="H226" s="6"/>
      <c r="I226" s="6">
        <f t="shared" si="25"/>
        <v>5316</v>
      </c>
      <c r="J226" s="6">
        <f t="shared" si="27"/>
        <v>0</v>
      </c>
      <c r="K226" s="281" t="s">
        <v>1395</v>
      </c>
    </row>
    <row r="227" spans="1:12" s="49" customFormat="1" ht="16.2" thickBot="1" x14ac:dyDescent="0.35">
      <c r="A227" s="28">
        <v>32</v>
      </c>
      <c r="B227" s="47" t="s">
        <v>150</v>
      </c>
      <c r="C227" s="28">
        <v>1997</v>
      </c>
      <c r="D227" s="6">
        <v>5316</v>
      </c>
      <c r="E227" s="6"/>
      <c r="F227" s="6"/>
      <c r="G227" s="6"/>
      <c r="H227" s="6"/>
      <c r="I227" s="6">
        <f t="shared" si="25"/>
        <v>0</v>
      </c>
      <c r="J227" s="6">
        <f t="shared" si="27"/>
        <v>5316</v>
      </c>
      <c r="K227" s="281"/>
      <c r="L227" s="49" t="s">
        <v>1725</v>
      </c>
    </row>
    <row r="228" spans="1:12" s="49" customFormat="1" ht="16.2" thickBot="1" x14ac:dyDescent="0.35">
      <c r="A228" s="28">
        <v>33</v>
      </c>
      <c r="B228" s="47" t="s">
        <v>137</v>
      </c>
      <c r="C228" s="28">
        <v>2000</v>
      </c>
      <c r="D228" s="6">
        <v>5316</v>
      </c>
      <c r="E228" s="6">
        <v>5000</v>
      </c>
      <c r="F228" s="6"/>
      <c r="G228" s="6"/>
      <c r="H228" s="6"/>
      <c r="I228" s="6">
        <f t="shared" si="25"/>
        <v>5000</v>
      </c>
      <c r="J228" s="6">
        <f t="shared" si="27"/>
        <v>316</v>
      </c>
      <c r="K228" s="281"/>
    </row>
    <row r="229" spans="1:12" s="49" customFormat="1" ht="16.2" thickBot="1" x14ac:dyDescent="0.35">
      <c r="A229" s="28">
        <v>34</v>
      </c>
      <c r="B229" s="31" t="s">
        <v>53</v>
      </c>
      <c r="C229" s="29">
        <v>2002</v>
      </c>
      <c r="D229" s="6">
        <v>5316</v>
      </c>
      <c r="E229" s="6"/>
      <c r="F229" s="6"/>
      <c r="G229" s="6"/>
      <c r="H229" s="6"/>
      <c r="I229" s="6">
        <f t="shared" si="25"/>
        <v>0</v>
      </c>
      <c r="J229" s="6">
        <f t="shared" si="27"/>
        <v>5316</v>
      </c>
      <c r="K229" s="281"/>
      <c r="L229" s="533" t="s">
        <v>1725</v>
      </c>
    </row>
    <row r="230" spans="1:12" s="49" customFormat="1" ht="16.2" thickBot="1" x14ac:dyDescent="0.35">
      <c r="A230" s="28">
        <v>35</v>
      </c>
      <c r="B230" s="27" t="s">
        <v>1204</v>
      </c>
      <c r="C230" s="29">
        <v>2004</v>
      </c>
      <c r="D230" s="6">
        <v>5316</v>
      </c>
      <c r="E230" s="6">
        <v>3000</v>
      </c>
      <c r="F230" s="6">
        <v>2316</v>
      </c>
      <c r="G230" s="6"/>
      <c r="H230" s="6"/>
      <c r="I230" s="6">
        <f t="shared" si="25"/>
        <v>5316</v>
      </c>
      <c r="J230" s="6">
        <v>1299</v>
      </c>
      <c r="K230" s="281" t="s">
        <v>1395</v>
      </c>
    </row>
    <row r="231" spans="1:12" s="49" customFormat="1" ht="16.2" thickBot="1" x14ac:dyDescent="0.35">
      <c r="A231" s="28">
        <v>36</v>
      </c>
      <c r="B231" s="47" t="s">
        <v>149</v>
      </c>
      <c r="C231" s="28">
        <v>2005</v>
      </c>
      <c r="D231" s="6">
        <v>5316</v>
      </c>
      <c r="E231" s="6"/>
      <c r="F231" s="6"/>
      <c r="G231" s="6"/>
      <c r="H231" s="6"/>
      <c r="I231" s="6">
        <f t="shared" si="25"/>
        <v>0</v>
      </c>
      <c r="J231" s="6">
        <f t="shared" si="27"/>
        <v>5316</v>
      </c>
      <c r="K231" s="281"/>
    </row>
    <row r="232" spans="1:12" s="49" customFormat="1" ht="16.2" thickBot="1" x14ac:dyDescent="0.35">
      <c r="A232" s="28">
        <v>37</v>
      </c>
      <c r="B232" s="47" t="s">
        <v>158</v>
      </c>
      <c r="C232" s="28">
        <v>2006</v>
      </c>
      <c r="D232" s="6">
        <v>5316</v>
      </c>
      <c r="E232" s="6">
        <v>2200</v>
      </c>
      <c r="F232" s="6"/>
      <c r="G232" s="6"/>
      <c r="H232" s="6"/>
      <c r="I232" s="6">
        <f t="shared" si="25"/>
        <v>2200</v>
      </c>
      <c r="J232" s="6">
        <f t="shared" si="27"/>
        <v>3116</v>
      </c>
      <c r="K232" s="13" t="s">
        <v>1395</v>
      </c>
    </row>
    <row r="233" spans="1:12" s="49" customFormat="1" ht="16.2" thickBot="1" x14ac:dyDescent="0.35">
      <c r="A233" s="28">
        <v>38</v>
      </c>
      <c r="B233" s="47" t="s">
        <v>161</v>
      </c>
      <c r="C233" s="28">
        <v>2007</v>
      </c>
      <c r="D233" s="6">
        <v>5316</v>
      </c>
      <c r="E233" s="6">
        <v>1200</v>
      </c>
      <c r="F233" s="6"/>
      <c r="G233" s="6"/>
      <c r="H233" s="6"/>
      <c r="I233" s="6">
        <f t="shared" si="25"/>
        <v>1200</v>
      </c>
      <c r="J233" s="6">
        <f t="shared" si="27"/>
        <v>4116</v>
      </c>
      <c r="K233" s="281"/>
    </row>
    <row r="234" spans="1:12" s="49" customFormat="1" ht="16.2" thickBot="1" x14ac:dyDescent="0.35">
      <c r="A234" s="28">
        <v>39</v>
      </c>
      <c r="B234" s="27" t="s">
        <v>330</v>
      </c>
      <c r="C234" s="28">
        <v>2008</v>
      </c>
      <c r="D234" s="6">
        <v>5316</v>
      </c>
      <c r="E234" s="6">
        <v>2000</v>
      </c>
      <c r="F234" s="6"/>
      <c r="G234" s="6"/>
      <c r="H234" s="6"/>
      <c r="I234" s="6">
        <f t="shared" si="25"/>
        <v>2000</v>
      </c>
      <c r="J234" s="6">
        <f t="shared" si="27"/>
        <v>3316</v>
      </c>
      <c r="K234" s="281" t="s">
        <v>1643</v>
      </c>
    </row>
    <row r="235" spans="1:12" s="49" customFormat="1" ht="16.2" thickBot="1" x14ac:dyDescent="0.35">
      <c r="A235" s="28">
        <v>40</v>
      </c>
      <c r="B235" s="47" t="s">
        <v>271</v>
      </c>
      <c r="C235" s="28">
        <v>2009</v>
      </c>
      <c r="D235" s="6">
        <v>5316</v>
      </c>
      <c r="E235" s="6">
        <v>2300</v>
      </c>
      <c r="F235" s="6"/>
      <c r="G235" s="6"/>
      <c r="H235" s="6"/>
      <c r="I235" s="6">
        <f t="shared" si="25"/>
        <v>2300</v>
      </c>
      <c r="J235" s="6">
        <f t="shared" si="27"/>
        <v>3016</v>
      </c>
      <c r="K235" s="13" t="s">
        <v>1395</v>
      </c>
    </row>
    <row r="236" spans="1:12" s="49" customFormat="1" ht="16.2" thickBot="1" x14ac:dyDescent="0.35">
      <c r="A236" s="28">
        <v>41</v>
      </c>
      <c r="B236" s="47" t="s">
        <v>138</v>
      </c>
      <c r="C236" s="28">
        <v>2010</v>
      </c>
      <c r="D236" s="6">
        <v>5316</v>
      </c>
      <c r="E236" s="537">
        <v>3374</v>
      </c>
      <c r="F236" s="6"/>
      <c r="G236" s="6"/>
      <c r="H236" s="6"/>
      <c r="I236" s="6">
        <f t="shared" si="25"/>
        <v>3374</v>
      </c>
      <c r="J236" s="6">
        <f t="shared" si="27"/>
        <v>1942</v>
      </c>
      <c r="K236" s="13" t="s">
        <v>1395</v>
      </c>
      <c r="L236" s="538" t="s">
        <v>1740</v>
      </c>
    </row>
    <row r="237" spans="1:12" s="49" customFormat="1" ht="16.2" thickBot="1" x14ac:dyDescent="0.35">
      <c r="A237" s="28">
        <v>42</v>
      </c>
      <c r="B237" s="31" t="s">
        <v>65</v>
      </c>
      <c r="C237" s="29">
        <v>2012</v>
      </c>
      <c r="D237" s="6">
        <v>5316</v>
      </c>
      <c r="E237" s="6">
        <v>3000</v>
      </c>
      <c r="F237" s="6"/>
      <c r="G237" s="6"/>
      <c r="H237" s="6"/>
      <c r="I237" s="6">
        <f t="shared" si="25"/>
        <v>3000</v>
      </c>
      <c r="J237" s="6">
        <f t="shared" si="27"/>
        <v>2316</v>
      </c>
      <c r="K237" s="281" t="s">
        <v>1395</v>
      </c>
    </row>
    <row r="238" spans="1:12" s="49" customFormat="1" ht="16.2" thickBot="1" x14ac:dyDescent="0.35">
      <c r="A238" s="28">
        <v>43</v>
      </c>
      <c r="B238" s="47" t="s">
        <v>160</v>
      </c>
      <c r="C238" s="28">
        <v>2013</v>
      </c>
      <c r="D238" s="6">
        <v>5316</v>
      </c>
      <c r="E238" s="6">
        <v>1000</v>
      </c>
      <c r="F238" s="6"/>
      <c r="G238" s="6"/>
      <c r="H238" s="6"/>
      <c r="I238" s="6">
        <f t="shared" si="25"/>
        <v>1000</v>
      </c>
      <c r="J238" s="6">
        <f t="shared" si="27"/>
        <v>4316</v>
      </c>
      <c r="K238" s="281" t="s">
        <v>1395</v>
      </c>
    </row>
    <row r="239" spans="1:12" s="49" customFormat="1" ht="16.2" thickBot="1" x14ac:dyDescent="0.35">
      <c r="A239" s="28">
        <v>44</v>
      </c>
      <c r="B239" s="47" t="s">
        <v>134</v>
      </c>
      <c r="C239" s="28">
        <v>2016</v>
      </c>
      <c r="D239" s="6">
        <v>5316</v>
      </c>
      <c r="E239" s="6">
        <v>2000</v>
      </c>
      <c r="F239" s="6"/>
      <c r="G239" s="6"/>
      <c r="H239" s="6"/>
      <c r="I239" s="6">
        <f t="shared" si="25"/>
        <v>2000</v>
      </c>
      <c r="J239" s="6">
        <f t="shared" si="27"/>
        <v>3316</v>
      </c>
      <c r="K239" s="13" t="s">
        <v>1395</v>
      </c>
      <c r="L239" s="49" t="s">
        <v>1725</v>
      </c>
    </row>
    <row r="240" spans="1:12" s="49" customFormat="1" ht="16.2" thickBot="1" x14ac:dyDescent="0.35">
      <c r="A240" s="28">
        <v>45</v>
      </c>
      <c r="B240" s="47" t="s">
        <v>154</v>
      </c>
      <c r="C240" s="28">
        <v>2017</v>
      </c>
      <c r="D240" s="6">
        <v>5316</v>
      </c>
      <c r="E240" s="6">
        <v>1500</v>
      </c>
      <c r="F240" s="6"/>
      <c r="G240" s="6"/>
      <c r="H240" s="6"/>
      <c r="I240" s="6">
        <f t="shared" si="25"/>
        <v>1500</v>
      </c>
      <c r="J240" s="6">
        <f t="shared" si="27"/>
        <v>3816</v>
      </c>
      <c r="K240" s="281" t="s">
        <v>1395</v>
      </c>
    </row>
    <row r="241" spans="1:11" s="49" customFormat="1" ht="16.2" thickBot="1" x14ac:dyDescent="0.35">
      <c r="A241" s="28">
        <v>46</v>
      </c>
      <c r="B241" s="31" t="s">
        <v>280</v>
      </c>
      <c r="C241" s="28">
        <v>2019</v>
      </c>
      <c r="D241" s="6">
        <v>5316</v>
      </c>
      <c r="E241" s="6">
        <v>4520</v>
      </c>
      <c r="F241" s="6"/>
      <c r="G241" s="6"/>
      <c r="H241" s="6"/>
      <c r="I241" s="6">
        <f t="shared" si="25"/>
        <v>4520</v>
      </c>
      <c r="J241" s="6">
        <f t="shared" si="27"/>
        <v>796</v>
      </c>
      <c r="K241" s="351" t="s">
        <v>1395</v>
      </c>
    </row>
    <row r="242" spans="1:11" s="49" customFormat="1" ht="16.2" thickBot="1" x14ac:dyDescent="0.35">
      <c r="A242" s="28">
        <v>47</v>
      </c>
      <c r="B242" s="47" t="s">
        <v>125</v>
      </c>
      <c r="C242" s="29">
        <v>2022</v>
      </c>
      <c r="D242" s="6">
        <v>5316</v>
      </c>
      <c r="E242" s="6"/>
      <c r="F242" s="6"/>
      <c r="G242" s="6"/>
      <c r="H242" s="6"/>
      <c r="I242" s="6">
        <f t="shared" si="25"/>
        <v>0</v>
      </c>
      <c r="J242" s="6">
        <f t="shared" si="27"/>
        <v>5316</v>
      </c>
      <c r="K242" s="281"/>
    </row>
    <row r="243" spans="1:11" s="49" customFormat="1" ht="16.2" thickBot="1" x14ac:dyDescent="0.35">
      <c r="A243" s="28">
        <v>48</v>
      </c>
      <c r="B243" s="31" t="s">
        <v>448</v>
      </c>
      <c r="C243" s="29">
        <v>1958</v>
      </c>
      <c r="D243" s="6">
        <v>5316</v>
      </c>
      <c r="E243" s="6">
        <v>1400</v>
      </c>
      <c r="F243" s="6"/>
      <c r="G243" s="6"/>
      <c r="H243" s="6"/>
      <c r="I243" s="6">
        <f t="shared" si="25"/>
        <v>1400</v>
      </c>
      <c r="J243" s="6">
        <f t="shared" si="27"/>
        <v>3916</v>
      </c>
      <c r="K243" s="281" t="s">
        <v>1395</v>
      </c>
    </row>
    <row r="244" spans="1:11" s="49" customFormat="1" ht="16.2" thickBot="1" x14ac:dyDescent="0.35">
      <c r="A244" s="28">
        <v>49</v>
      </c>
      <c r="B244" s="27" t="s">
        <v>706</v>
      </c>
      <c r="C244" s="28">
        <v>2025</v>
      </c>
      <c r="D244" s="6">
        <v>5316</v>
      </c>
      <c r="E244" s="6"/>
      <c r="F244" s="6"/>
      <c r="G244" s="6"/>
      <c r="H244" s="6"/>
      <c r="I244" s="6">
        <f t="shared" si="25"/>
        <v>0</v>
      </c>
      <c r="J244" s="6">
        <f t="shared" si="27"/>
        <v>5316</v>
      </c>
      <c r="K244" s="281"/>
    </row>
    <row r="245" spans="1:11" s="49" customFormat="1" ht="16.2" thickBot="1" x14ac:dyDescent="0.35">
      <c r="A245" s="28">
        <v>50</v>
      </c>
      <c r="B245" s="31" t="s">
        <v>60</v>
      </c>
      <c r="C245" s="29">
        <v>2026</v>
      </c>
      <c r="D245" s="6">
        <v>5316</v>
      </c>
      <c r="E245" s="6">
        <v>4000</v>
      </c>
      <c r="F245" s="6"/>
      <c r="G245" s="6"/>
      <c r="H245" s="6"/>
      <c r="I245" s="6">
        <f t="shared" si="25"/>
        <v>4000</v>
      </c>
      <c r="J245" s="6">
        <f t="shared" si="27"/>
        <v>1316</v>
      </c>
      <c r="K245" s="281" t="s">
        <v>1395</v>
      </c>
    </row>
    <row r="246" spans="1:11" s="49" customFormat="1" ht="16.2" thickBot="1" x14ac:dyDescent="0.35">
      <c r="A246" s="28">
        <v>51</v>
      </c>
      <c r="B246" s="47" t="s">
        <v>153</v>
      </c>
      <c r="C246" s="28">
        <v>2028</v>
      </c>
      <c r="D246" s="6">
        <v>5316</v>
      </c>
      <c r="E246" s="6">
        <v>3000</v>
      </c>
      <c r="F246" s="6"/>
      <c r="G246" s="6"/>
      <c r="H246" s="6"/>
      <c r="I246" s="6">
        <f t="shared" si="25"/>
        <v>3000</v>
      </c>
      <c r="J246" s="6">
        <f t="shared" si="27"/>
        <v>2316</v>
      </c>
      <c r="K246" s="281"/>
    </row>
    <row r="247" spans="1:11" s="49" customFormat="1" ht="16.2" thickBot="1" x14ac:dyDescent="0.35">
      <c r="A247" s="28">
        <v>52</v>
      </c>
      <c r="B247" s="47" t="s">
        <v>121</v>
      </c>
      <c r="C247" s="29">
        <v>2029</v>
      </c>
      <c r="D247" s="6">
        <v>5316</v>
      </c>
      <c r="E247" s="6">
        <v>4000</v>
      </c>
      <c r="F247" s="6">
        <v>1316</v>
      </c>
      <c r="G247" s="6"/>
      <c r="H247" s="6"/>
      <c r="I247" s="6">
        <f t="shared" si="25"/>
        <v>5316</v>
      </c>
      <c r="J247" s="6">
        <f t="shared" si="27"/>
        <v>0</v>
      </c>
      <c r="K247" s="281" t="s">
        <v>1395</v>
      </c>
    </row>
    <row r="248" spans="1:11" s="49" customFormat="1" ht="16.2" thickBot="1" x14ac:dyDescent="0.35">
      <c r="A248" s="28">
        <v>53</v>
      </c>
      <c r="B248" s="47" t="s">
        <v>118</v>
      </c>
      <c r="C248" s="29">
        <v>2031</v>
      </c>
      <c r="D248" s="6">
        <v>5316</v>
      </c>
      <c r="E248" s="6">
        <v>3000</v>
      </c>
      <c r="F248" s="6"/>
      <c r="G248" s="6"/>
      <c r="H248" s="6"/>
      <c r="I248" s="6">
        <f t="shared" si="25"/>
        <v>3000</v>
      </c>
      <c r="J248" s="6">
        <f t="shared" si="27"/>
        <v>2316</v>
      </c>
      <c r="K248" s="281" t="s">
        <v>1395</v>
      </c>
    </row>
    <row r="249" spans="1:11" s="49" customFormat="1" ht="16.2" thickBot="1" x14ac:dyDescent="0.35">
      <c r="A249" s="28">
        <v>54</v>
      </c>
      <c r="B249" s="47" t="s">
        <v>127</v>
      </c>
      <c r="C249" s="28">
        <v>2032</v>
      </c>
      <c r="D249" s="6">
        <v>5316</v>
      </c>
      <c r="E249" s="6">
        <v>3000</v>
      </c>
      <c r="F249" s="6"/>
      <c r="G249" s="6"/>
      <c r="H249" s="6"/>
      <c r="I249" s="6">
        <f t="shared" si="25"/>
        <v>3000</v>
      </c>
      <c r="J249" s="6">
        <f t="shared" si="27"/>
        <v>2316</v>
      </c>
      <c r="K249" s="281" t="s">
        <v>1395</v>
      </c>
    </row>
    <row r="250" spans="1:11" s="49" customFormat="1" ht="16.2" thickBot="1" x14ac:dyDescent="0.35">
      <c r="A250" s="28">
        <v>55</v>
      </c>
      <c r="B250" s="31" t="s">
        <v>296</v>
      </c>
      <c r="C250" s="28">
        <v>2034</v>
      </c>
      <c r="D250" s="6">
        <v>5316</v>
      </c>
      <c r="E250" s="6"/>
      <c r="F250" s="6"/>
      <c r="G250" s="6"/>
      <c r="H250" s="6"/>
      <c r="I250" s="6">
        <f t="shared" si="25"/>
        <v>0</v>
      </c>
      <c r="J250" s="6">
        <f t="shared" si="27"/>
        <v>5316</v>
      </c>
      <c r="K250" s="281" t="s">
        <v>1576</v>
      </c>
    </row>
    <row r="251" spans="1:11" s="49" customFormat="1" ht="16.2" thickBot="1" x14ac:dyDescent="0.35">
      <c r="A251" s="28">
        <v>56</v>
      </c>
      <c r="B251" s="31" t="s">
        <v>324</v>
      </c>
      <c r="C251" s="28">
        <v>2647</v>
      </c>
      <c r="D251" s="6">
        <v>5316</v>
      </c>
      <c r="E251" s="6">
        <v>1000</v>
      </c>
      <c r="F251" s="6">
        <v>4316</v>
      </c>
      <c r="G251" s="6"/>
      <c r="H251" s="6"/>
      <c r="I251" s="6">
        <f t="shared" si="25"/>
        <v>5316</v>
      </c>
      <c r="J251" s="6">
        <f t="shared" si="27"/>
        <v>0</v>
      </c>
      <c r="K251" s="13" t="s">
        <v>1395</v>
      </c>
    </row>
    <row r="252" spans="1:11" s="49" customFormat="1" ht="16.2" thickBot="1" x14ac:dyDescent="0.35">
      <c r="A252" s="28"/>
      <c r="B252" s="31" t="s">
        <v>1660</v>
      </c>
      <c r="C252" s="28">
        <v>2567</v>
      </c>
      <c r="D252" s="6">
        <v>5316</v>
      </c>
      <c r="E252" s="6">
        <v>2000</v>
      </c>
      <c r="F252" s="6"/>
      <c r="G252" s="6"/>
      <c r="H252" s="6"/>
      <c r="I252" s="6">
        <f t="shared" si="25"/>
        <v>2000</v>
      </c>
      <c r="J252" s="6">
        <f t="shared" si="27"/>
        <v>3316</v>
      </c>
      <c r="K252" s="13"/>
    </row>
    <row r="253" spans="1:11" s="49" customFormat="1" ht="16.2" thickBot="1" x14ac:dyDescent="0.35">
      <c r="A253" s="28">
        <v>57</v>
      </c>
      <c r="B253" s="47" t="s">
        <v>131</v>
      </c>
      <c r="C253" s="28">
        <v>2037</v>
      </c>
      <c r="D253" s="6">
        <v>5316</v>
      </c>
      <c r="E253" s="6">
        <v>3000</v>
      </c>
      <c r="F253" s="6"/>
      <c r="G253" s="6"/>
      <c r="H253" s="6"/>
      <c r="I253" s="6">
        <f t="shared" si="25"/>
        <v>3000</v>
      </c>
      <c r="J253" s="6">
        <f t="shared" si="27"/>
        <v>2316</v>
      </c>
      <c r="K253" s="281" t="s">
        <v>1395</v>
      </c>
    </row>
    <row r="254" spans="1:11" s="49" customFormat="1" ht="16.2" thickBot="1" x14ac:dyDescent="0.35">
      <c r="A254" s="28">
        <v>58</v>
      </c>
      <c r="B254" s="47" t="s">
        <v>136</v>
      </c>
      <c r="C254" s="28">
        <v>2038</v>
      </c>
      <c r="D254" s="6">
        <v>5316</v>
      </c>
      <c r="E254" s="6">
        <v>3000</v>
      </c>
      <c r="F254" s="6"/>
      <c r="G254" s="6"/>
      <c r="H254" s="6"/>
      <c r="I254" s="6">
        <f t="shared" si="25"/>
        <v>3000</v>
      </c>
      <c r="J254" s="6">
        <f t="shared" si="27"/>
        <v>2316</v>
      </c>
      <c r="K254" s="281" t="s">
        <v>1395</v>
      </c>
    </row>
    <row r="255" spans="1:11" s="49" customFormat="1" ht="16.2" thickBot="1" x14ac:dyDescent="0.35">
      <c r="A255" s="28">
        <v>59</v>
      </c>
      <c r="B255" s="27" t="s">
        <v>652</v>
      </c>
      <c r="C255" s="28">
        <v>2039</v>
      </c>
      <c r="D255" s="6">
        <v>5316</v>
      </c>
      <c r="E255" s="6">
        <v>5316</v>
      </c>
      <c r="F255" s="6"/>
      <c r="G255" s="6"/>
      <c r="H255" s="6"/>
      <c r="I255" s="6">
        <f t="shared" si="25"/>
        <v>5316</v>
      </c>
      <c r="J255" s="6">
        <f t="shared" si="27"/>
        <v>0</v>
      </c>
      <c r="K255" s="281" t="s">
        <v>1395</v>
      </c>
    </row>
    <row r="256" spans="1:11" s="49" customFormat="1" ht="16.2" thickBot="1" x14ac:dyDescent="0.35">
      <c r="A256" s="28">
        <v>60</v>
      </c>
      <c r="B256" s="47" t="s">
        <v>272</v>
      </c>
      <c r="C256" s="28"/>
      <c r="D256" s="6">
        <v>5316</v>
      </c>
      <c r="E256" s="6"/>
      <c r="F256" s="6"/>
      <c r="G256" s="6"/>
      <c r="H256" s="6"/>
      <c r="I256" s="6">
        <f t="shared" si="25"/>
        <v>0</v>
      </c>
      <c r="J256" s="6">
        <f t="shared" si="27"/>
        <v>5316</v>
      </c>
      <c r="K256" s="281"/>
    </row>
    <row r="257" spans="1:12" s="49" customFormat="1" ht="16.2" thickBot="1" x14ac:dyDescent="0.35">
      <c r="A257" s="28">
        <v>61</v>
      </c>
      <c r="B257" s="31" t="s">
        <v>32</v>
      </c>
      <c r="C257" s="29">
        <v>2042</v>
      </c>
      <c r="D257" s="6">
        <v>5316</v>
      </c>
      <c r="E257" s="6">
        <v>3000</v>
      </c>
      <c r="F257" s="6">
        <v>50</v>
      </c>
      <c r="G257" s="6">
        <v>2266</v>
      </c>
      <c r="H257" s="6"/>
      <c r="I257" s="6">
        <f t="shared" si="25"/>
        <v>5316</v>
      </c>
      <c r="J257" s="6">
        <f t="shared" si="27"/>
        <v>0</v>
      </c>
      <c r="K257" s="281" t="s">
        <v>1723</v>
      </c>
    </row>
    <row r="258" spans="1:12" s="49" customFormat="1" ht="16.2" thickBot="1" x14ac:dyDescent="0.35">
      <c r="A258" s="28">
        <v>62</v>
      </c>
      <c r="B258" s="47" t="s">
        <v>151</v>
      </c>
      <c r="C258" s="28"/>
      <c r="D258" s="6">
        <v>5316</v>
      </c>
      <c r="E258" s="6">
        <v>2430</v>
      </c>
      <c r="F258" s="6"/>
      <c r="G258" s="6"/>
      <c r="H258" s="6"/>
      <c r="I258" s="6">
        <f t="shared" si="25"/>
        <v>2430</v>
      </c>
      <c r="J258" s="6">
        <f t="shared" si="27"/>
        <v>2886</v>
      </c>
      <c r="K258" s="351" t="s">
        <v>1395</v>
      </c>
    </row>
    <row r="259" spans="1:12" s="49" customFormat="1" ht="16.2" thickBot="1" x14ac:dyDescent="0.35">
      <c r="A259" s="28">
        <v>63</v>
      </c>
      <c r="B259" s="31" t="s">
        <v>311</v>
      </c>
      <c r="C259" s="28">
        <v>2639</v>
      </c>
      <c r="D259" s="6">
        <v>5316</v>
      </c>
      <c r="E259" s="6"/>
      <c r="F259" s="6"/>
      <c r="G259" s="6"/>
      <c r="H259" s="6"/>
      <c r="I259" s="6">
        <f t="shared" si="25"/>
        <v>0</v>
      </c>
      <c r="J259" s="6">
        <f t="shared" si="27"/>
        <v>5316</v>
      </c>
      <c r="K259" s="13" t="s">
        <v>1395</v>
      </c>
    </row>
    <row r="260" spans="1:12" s="49" customFormat="1" ht="16.2" thickBot="1" x14ac:dyDescent="0.35">
      <c r="A260" s="28">
        <v>64</v>
      </c>
      <c r="B260" s="27" t="s">
        <v>55</v>
      </c>
      <c r="C260" s="29">
        <v>2045</v>
      </c>
      <c r="D260" s="6">
        <v>5316</v>
      </c>
      <c r="E260" s="6">
        <v>3200</v>
      </c>
      <c r="F260" s="6">
        <v>2117</v>
      </c>
      <c r="G260" s="6"/>
      <c r="H260" s="6"/>
      <c r="I260" s="6">
        <f t="shared" si="25"/>
        <v>5317</v>
      </c>
      <c r="J260" s="6">
        <f t="shared" si="27"/>
        <v>-1</v>
      </c>
      <c r="K260" s="281"/>
    </row>
    <row r="261" spans="1:12" s="49" customFormat="1" ht="16.2" thickBot="1" x14ac:dyDescent="0.35">
      <c r="A261" s="28">
        <v>65</v>
      </c>
      <c r="B261" s="31" t="s">
        <v>30</v>
      </c>
      <c r="C261" s="29">
        <v>2046</v>
      </c>
      <c r="D261" s="6">
        <v>5316</v>
      </c>
      <c r="E261" s="6">
        <v>2000</v>
      </c>
      <c r="F261" s="6">
        <v>3316</v>
      </c>
      <c r="G261" s="6"/>
      <c r="H261" s="6"/>
      <c r="I261" s="6">
        <f t="shared" si="25"/>
        <v>5316</v>
      </c>
      <c r="J261" s="6">
        <f t="shared" si="27"/>
        <v>0</v>
      </c>
      <c r="K261" s="13" t="s">
        <v>1395</v>
      </c>
    </row>
    <row r="262" spans="1:12" s="49" customFormat="1" ht="16.2" thickBot="1" x14ac:dyDescent="0.35">
      <c r="A262" s="28">
        <v>66</v>
      </c>
      <c r="B262" s="27" t="s">
        <v>654</v>
      </c>
      <c r="C262" s="28">
        <v>2047</v>
      </c>
      <c r="D262" s="6">
        <v>5316</v>
      </c>
      <c r="E262" s="6">
        <v>5316</v>
      </c>
      <c r="F262" s="6"/>
      <c r="G262" s="6"/>
      <c r="H262" s="6"/>
      <c r="I262" s="6">
        <f t="shared" ref="I262:I312" si="28">SUM(E262:H262)</f>
        <v>5316</v>
      </c>
      <c r="J262" s="6">
        <f t="shared" si="27"/>
        <v>0</v>
      </c>
      <c r="K262" s="281" t="s">
        <v>1395</v>
      </c>
    </row>
    <row r="263" spans="1:12" s="49" customFormat="1" ht="16.2" thickBot="1" x14ac:dyDescent="0.35">
      <c r="A263" s="28">
        <v>67</v>
      </c>
      <c r="B263" s="47" t="s">
        <v>155</v>
      </c>
      <c r="C263" s="28">
        <v>2048</v>
      </c>
      <c r="D263" s="6">
        <v>5316</v>
      </c>
      <c r="E263" s="6">
        <v>2000</v>
      </c>
      <c r="F263" s="6"/>
      <c r="G263" s="6"/>
      <c r="H263" s="6"/>
      <c r="I263" s="6">
        <f t="shared" si="28"/>
        <v>2000</v>
      </c>
      <c r="J263" s="6">
        <f t="shared" ref="J263:J312" si="29">D263-E263-F263-G263-H263</f>
        <v>3316</v>
      </c>
      <c r="K263" s="13" t="s">
        <v>1395</v>
      </c>
    </row>
    <row r="264" spans="1:12" s="49" customFormat="1" ht="16.2" thickBot="1" x14ac:dyDescent="0.35">
      <c r="A264" s="28">
        <v>68</v>
      </c>
      <c r="B264" s="31" t="s">
        <v>68</v>
      </c>
      <c r="C264" s="29">
        <v>2050</v>
      </c>
      <c r="D264" s="6">
        <v>5316</v>
      </c>
      <c r="E264" s="6">
        <v>1680</v>
      </c>
      <c r="F264" s="6"/>
      <c r="G264" s="6"/>
      <c r="H264" s="6"/>
      <c r="I264" s="6">
        <f t="shared" si="28"/>
        <v>1680</v>
      </c>
      <c r="J264" s="6">
        <f t="shared" si="29"/>
        <v>3636</v>
      </c>
      <c r="K264" s="13" t="s">
        <v>1395</v>
      </c>
    </row>
    <row r="265" spans="1:12" s="49" customFormat="1" ht="16.2" thickBot="1" x14ac:dyDescent="0.35">
      <c r="A265" s="28">
        <v>69</v>
      </c>
      <c r="B265" s="31" t="s">
        <v>63</v>
      </c>
      <c r="C265" s="29">
        <v>2052</v>
      </c>
      <c r="D265" s="6">
        <v>5316</v>
      </c>
      <c r="E265" s="6">
        <v>3000</v>
      </c>
      <c r="F265" s="6">
        <v>50</v>
      </c>
      <c r="G265" s="6">
        <v>2266</v>
      </c>
      <c r="H265" s="6"/>
      <c r="I265" s="6">
        <f t="shared" si="28"/>
        <v>5316</v>
      </c>
      <c r="J265" s="6">
        <f t="shared" si="29"/>
        <v>0</v>
      </c>
      <c r="K265" s="281" t="s">
        <v>1723</v>
      </c>
    </row>
    <row r="266" spans="1:12" s="49" customFormat="1" ht="16.2" thickBot="1" x14ac:dyDescent="0.35">
      <c r="A266" s="28">
        <v>70</v>
      </c>
      <c r="B266" s="31" t="s">
        <v>56</v>
      </c>
      <c r="C266" s="28">
        <v>2055</v>
      </c>
      <c r="D266" s="6">
        <v>5316</v>
      </c>
      <c r="E266" s="6">
        <v>3000</v>
      </c>
      <c r="F266" s="6">
        <v>2316</v>
      </c>
      <c r="G266" s="6"/>
      <c r="H266" s="6"/>
      <c r="I266" s="6">
        <f t="shared" si="28"/>
        <v>5316</v>
      </c>
      <c r="J266" s="6">
        <f t="shared" si="29"/>
        <v>0</v>
      </c>
      <c r="K266" s="281" t="s">
        <v>1723</v>
      </c>
    </row>
    <row r="267" spans="1:12" s="49" customFormat="1" ht="16.2" thickBot="1" x14ac:dyDescent="0.35">
      <c r="A267" s="28">
        <v>71</v>
      </c>
      <c r="B267" s="31" t="s">
        <v>116</v>
      </c>
      <c r="C267" s="28">
        <v>2056</v>
      </c>
      <c r="D267" s="6">
        <v>5316</v>
      </c>
      <c r="E267" s="6">
        <v>1000</v>
      </c>
      <c r="F267" s="6"/>
      <c r="G267" s="6"/>
      <c r="H267" s="6"/>
      <c r="I267" s="6">
        <f t="shared" si="28"/>
        <v>1000</v>
      </c>
      <c r="J267" s="6">
        <f t="shared" si="29"/>
        <v>4316</v>
      </c>
      <c r="K267" s="281"/>
    </row>
    <row r="268" spans="1:12" s="49" customFormat="1" ht="16.2" thickBot="1" x14ac:dyDescent="0.35">
      <c r="A268" s="28">
        <v>72</v>
      </c>
      <c r="B268" s="47" t="s">
        <v>129</v>
      </c>
      <c r="C268" s="28">
        <v>2059</v>
      </c>
      <c r="D268" s="6">
        <v>5316</v>
      </c>
      <c r="E268" s="6">
        <v>3000</v>
      </c>
      <c r="F268" s="6"/>
      <c r="G268" s="6"/>
      <c r="H268" s="6"/>
      <c r="I268" s="6">
        <f t="shared" si="28"/>
        <v>3000</v>
      </c>
      <c r="J268" s="6">
        <f t="shared" si="29"/>
        <v>2316</v>
      </c>
      <c r="K268" s="281" t="s">
        <v>1395</v>
      </c>
    </row>
    <row r="269" spans="1:12" s="49" customFormat="1" ht="16.2" thickBot="1" x14ac:dyDescent="0.35">
      <c r="A269" s="28">
        <v>73</v>
      </c>
      <c r="B269" s="27" t="s">
        <v>58</v>
      </c>
      <c r="C269" s="28">
        <v>2060</v>
      </c>
      <c r="D269" s="6">
        <v>5316</v>
      </c>
      <c r="E269" s="6">
        <v>3816</v>
      </c>
      <c r="F269" s="6"/>
      <c r="G269" s="6"/>
      <c r="H269" s="6"/>
      <c r="I269" s="6">
        <f t="shared" si="28"/>
        <v>3816</v>
      </c>
      <c r="J269" s="6">
        <f t="shared" si="29"/>
        <v>1500</v>
      </c>
      <c r="K269" s="281"/>
    </row>
    <row r="270" spans="1:12" s="49" customFormat="1" ht="16.2" thickBot="1" x14ac:dyDescent="0.35">
      <c r="A270" s="28">
        <v>74</v>
      </c>
      <c r="B270" s="27" t="s">
        <v>705</v>
      </c>
      <c r="C270" s="28">
        <v>2061</v>
      </c>
      <c r="D270" s="6">
        <v>5316</v>
      </c>
      <c r="E270" s="6">
        <v>2430</v>
      </c>
      <c r="F270" s="6"/>
      <c r="G270" s="6"/>
      <c r="H270" s="6"/>
      <c r="I270" s="6">
        <f t="shared" si="28"/>
        <v>2430</v>
      </c>
      <c r="J270" s="6">
        <f t="shared" si="29"/>
        <v>2886</v>
      </c>
      <c r="K270" s="13" t="s">
        <v>1395</v>
      </c>
    </row>
    <row r="271" spans="1:12" s="49" customFormat="1" ht="16.2" thickBot="1" x14ac:dyDescent="0.35">
      <c r="A271" s="28">
        <v>75</v>
      </c>
      <c r="B271" s="27" t="s">
        <v>710</v>
      </c>
      <c r="C271" s="28">
        <v>2062</v>
      </c>
      <c r="D271" s="6">
        <v>5316</v>
      </c>
      <c r="E271" s="6">
        <v>2000</v>
      </c>
      <c r="F271" s="6"/>
      <c r="G271" s="6"/>
      <c r="H271" s="6"/>
      <c r="I271" s="6">
        <f t="shared" si="28"/>
        <v>2000</v>
      </c>
      <c r="J271" s="6">
        <f t="shared" si="29"/>
        <v>3316</v>
      </c>
      <c r="K271" s="13" t="s">
        <v>1395</v>
      </c>
    </row>
    <row r="272" spans="1:12" s="49" customFormat="1" ht="16.2" thickBot="1" x14ac:dyDescent="0.35">
      <c r="A272" s="28">
        <v>76</v>
      </c>
      <c r="B272" s="47" t="s">
        <v>128</v>
      </c>
      <c r="C272" s="28">
        <v>2066</v>
      </c>
      <c r="D272" s="6">
        <v>5316</v>
      </c>
      <c r="E272" s="6">
        <v>2000</v>
      </c>
      <c r="F272" s="6"/>
      <c r="G272" s="6"/>
      <c r="H272" s="6"/>
      <c r="I272" s="6">
        <f t="shared" si="28"/>
        <v>2000</v>
      </c>
      <c r="J272" s="6">
        <f t="shared" si="29"/>
        <v>3316</v>
      </c>
      <c r="K272" s="13" t="s">
        <v>1395</v>
      </c>
      <c r="L272" s="49" t="s">
        <v>1725</v>
      </c>
    </row>
    <row r="273" spans="1:12" s="49" customFormat="1" ht="16.2" thickBot="1" x14ac:dyDescent="0.35">
      <c r="A273" s="28">
        <v>77</v>
      </c>
      <c r="B273" s="47" t="s">
        <v>135</v>
      </c>
      <c r="C273" s="28">
        <v>2065</v>
      </c>
      <c r="D273" s="6">
        <v>5316</v>
      </c>
      <c r="E273" s="6"/>
      <c r="F273" s="6"/>
      <c r="G273" s="6"/>
      <c r="H273" s="6"/>
      <c r="I273" s="6">
        <f t="shared" si="28"/>
        <v>0</v>
      </c>
      <c r="J273" s="6">
        <f t="shared" si="29"/>
        <v>5316</v>
      </c>
      <c r="K273" s="281"/>
    </row>
    <row r="274" spans="1:12" s="49" customFormat="1" ht="16.2" thickBot="1" x14ac:dyDescent="0.35">
      <c r="A274" s="28">
        <v>78</v>
      </c>
      <c r="B274" s="31" t="s">
        <v>336</v>
      </c>
      <c r="C274" s="28">
        <v>2067</v>
      </c>
      <c r="D274" s="6">
        <v>5316</v>
      </c>
      <c r="E274" s="6"/>
      <c r="F274" s="6"/>
      <c r="G274" s="6"/>
      <c r="H274" s="6"/>
      <c r="I274" s="6">
        <f t="shared" si="28"/>
        <v>0</v>
      </c>
      <c r="J274" s="6">
        <f t="shared" si="29"/>
        <v>5316</v>
      </c>
      <c r="K274" s="281"/>
      <c r="L274" s="49" t="s">
        <v>1725</v>
      </c>
    </row>
    <row r="275" spans="1:12" s="49" customFormat="1" ht="16.2" thickBot="1" x14ac:dyDescent="0.35">
      <c r="A275" s="28">
        <v>79</v>
      </c>
      <c r="B275" s="31" t="s">
        <v>70</v>
      </c>
      <c r="C275" s="28">
        <v>2068</v>
      </c>
      <c r="D275" s="6">
        <v>5316</v>
      </c>
      <c r="E275" s="6">
        <v>2660</v>
      </c>
      <c r="F275" s="6"/>
      <c r="G275" s="6"/>
      <c r="H275" s="6"/>
      <c r="I275" s="6">
        <f t="shared" si="28"/>
        <v>2660</v>
      </c>
      <c r="J275" s="6">
        <f t="shared" si="29"/>
        <v>2656</v>
      </c>
      <c r="K275" s="281" t="s">
        <v>1395</v>
      </c>
    </row>
    <row r="276" spans="1:12" s="49" customFormat="1" ht="16.2" thickBot="1" x14ac:dyDescent="0.35">
      <c r="A276" s="28">
        <v>80</v>
      </c>
      <c r="B276" s="31" t="s">
        <v>309</v>
      </c>
      <c r="C276" s="28">
        <v>2070</v>
      </c>
      <c r="D276" s="6">
        <v>5316</v>
      </c>
      <c r="E276" s="6">
        <v>4000</v>
      </c>
      <c r="F276" s="6"/>
      <c r="G276" s="6"/>
      <c r="H276" s="6"/>
      <c r="I276" s="6">
        <f t="shared" si="28"/>
        <v>4000</v>
      </c>
      <c r="J276" s="6">
        <f t="shared" si="29"/>
        <v>1316</v>
      </c>
      <c r="K276" s="281" t="s">
        <v>1395</v>
      </c>
    </row>
    <row r="277" spans="1:12" s="49" customFormat="1" ht="16.2" thickBot="1" x14ac:dyDescent="0.35">
      <c r="A277" s="28">
        <v>81</v>
      </c>
      <c r="B277" s="47" t="s">
        <v>124</v>
      </c>
      <c r="C277" s="28">
        <v>2072</v>
      </c>
      <c r="D277" s="6">
        <v>5316</v>
      </c>
      <c r="E277" s="6">
        <v>2000</v>
      </c>
      <c r="F277" s="6"/>
      <c r="G277" s="6"/>
      <c r="H277" s="6"/>
      <c r="I277" s="6">
        <f t="shared" si="28"/>
        <v>2000</v>
      </c>
      <c r="J277" s="6">
        <f t="shared" si="29"/>
        <v>3316</v>
      </c>
      <c r="K277" s="281" t="s">
        <v>1395</v>
      </c>
    </row>
    <row r="278" spans="1:12" s="49" customFormat="1" ht="16.2" thickBot="1" x14ac:dyDescent="0.35">
      <c r="A278" s="28">
        <v>82</v>
      </c>
      <c r="B278" s="31" t="s">
        <v>325</v>
      </c>
      <c r="C278" s="28">
        <v>2658</v>
      </c>
      <c r="D278" s="6">
        <v>5316</v>
      </c>
      <c r="E278" s="6"/>
      <c r="F278" s="6"/>
      <c r="G278" s="6"/>
      <c r="H278" s="6"/>
      <c r="I278" s="6">
        <f t="shared" si="28"/>
        <v>0</v>
      </c>
      <c r="J278" s="6">
        <f t="shared" si="29"/>
        <v>5316</v>
      </c>
      <c r="K278" s="281"/>
    </row>
    <row r="279" spans="1:12" s="49" customFormat="1" ht="16.2" thickBot="1" x14ac:dyDescent="0.35">
      <c r="A279" s="28">
        <v>83</v>
      </c>
      <c r="B279" s="47" t="s">
        <v>162</v>
      </c>
      <c r="C279" s="28"/>
      <c r="D279" s="6">
        <v>5316</v>
      </c>
      <c r="E279" s="6">
        <v>2000</v>
      </c>
      <c r="F279" s="6"/>
      <c r="G279" s="6"/>
      <c r="H279" s="6"/>
      <c r="I279" s="6">
        <f t="shared" si="28"/>
        <v>2000</v>
      </c>
      <c r="J279" s="6">
        <f t="shared" si="29"/>
        <v>3316</v>
      </c>
      <c r="K279" s="13" t="s">
        <v>1395</v>
      </c>
      <c r="L279" s="49" t="s">
        <v>1725</v>
      </c>
    </row>
    <row r="280" spans="1:12" s="49" customFormat="1" ht="16.2" thickBot="1" x14ac:dyDescent="0.35">
      <c r="A280" s="28">
        <v>84</v>
      </c>
      <c r="B280" s="47" t="s">
        <v>145</v>
      </c>
      <c r="C280" s="28">
        <v>2077</v>
      </c>
      <c r="D280" s="6">
        <v>5316</v>
      </c>
      <c r="E280" s="6">
        <v>3000</v>
      </c>
      <c r="F280" s="6">
        <v>2316</v>
      </c>
      <c r="G280" s="6"/>
      <c r="H280" s="6"/>
      <c r="I280" s="6">
        <f t="shared" si="28"/>
        <v>5316</v>
      </c>
      <c r="J280" s="6">
        <f t="shared" si="29"/>
        <v>0</v>
      </c>
      <c r="K280" s="13" t="s">
        <v>1395</v>
      </c>
    </row>
    <row r="281" spans="1:12" s="49" customFormat="1" ht="16.2" thickBot="1" x14ac:dyDescent="0.35">
      <c r="A281" s="28">
        <v>85</v>
      </c>
      <c r="B281" s="31" t="s">
        <v>339</v>
      </c>
      <c r="C281" s="28">
        <v>2079</v>
      </c>
      <c r="D281" s="6">
        <v>5316</v>
      </c>
      <c r="E281" s="6">
        <v>1000</v>
      </c>
      <c r="F281" s="6"/>
      <c r="G281" s="6"/>
      <c r="H281" s="6"/>
      <c r="I281" s="6">
        <f t="shared" si="28"/>
        <v>1000</v>
      </c>
      <c r="J281" s="6">
        <f t="shared" si="29"/>
        <v>4316</v>
      </c>
      <c r="K281" s="13" t="s">
        <v>1395</v>
      </c>
      <c r="L281" s="49" t="s">
        <v>1725</v>
      </c>
    </row>
    <row r="282" spans="1:12" s="49" customFormat="1" ht="16.2" thickBot="1" x14ac:dyDescent="0.35">
      <c r="A282" s="28">
        <v>86</v>
      </c>
      <c r="B282" s="27" t="s">
        <v>696</v>
      </c>
      <c r="C282" s="28">
        <v>2080</v>
      </c>
      <c r="D282" s="6">
        <v>5316</v>
      </c>
      <c r="E282" s="6"/>
      <c r="F282" s="6"/>
      <c r="G282" s="6"/>
      <c r="H282" s="6"/>
      <c r="I282" s="6">
        <f t="shared" si="28"/>
        <v>0</v>
      </c>
      <c r="J282" s="6">
        <f t="shared" si="29"/>
        <v>5316</v>
      </c>
      <c r="K282" s="281"/>
    </row>
    <row r="283" spans="1:12" s="49" customFormat="1" ht="16.2" thickBot="1" x14ac:dyDescent="0.35">
      <c r="A283" s="28">
        <v>87</v>
      </c>
      <c r="B283" s="47" t="s">
        <v>146</v>
      </c>
      <c r="C283" s="28">
        <v>2081</v>
      </c>
      <c r="D283" s="6">
        <v>5316</v>
      </c>
      <c r="E283" s="6"/>
      <c r="F283" s="6"/>
      <c r="G283" s="6"/>
      <c r="H283" s="6"/>
      <c r="I283" s="6">
        <f t="shared" si="28"/>
        <v>0</v>
      </c>
      <c r="J283" s="6">
        <f t="shared" si="29"/>
        <v>5316</v>
      </c>
      <c r="K283" s="281"/>
    </row>
    <row r="284" spans="1:12" s="49" customFormat="1" ht="16.2" thickBot="1" x14ac:dyDescent="0.35">
      <c r="A284" s="28">
        <v>88</v>
      </c>
      <c r="B284" s="27" t="s">
        <v>31</v>
      </c>
      <c r="C284" s="28">
        <v>2082</v>
      </c>
      <c r="D284" s="6">
        <v>5316</v>
      </c>
      <c r="E284" s="6">
        <v>3000</v>
      </c>
      <c r="F284" s="6">
        <v>2316</v>
      </c>
      <c r="G284" s="6"/>
      <c r="H284" s="6"/>
      <c r="I284" s="6">
        <f t="shared" si="28"/>
        <v>5316</v>
      </c>
      <c r="J284" s="6">
        <f t="shared" si="29"/>
        <v>0</v>
      </c>
      <c r="K284" s="281" t="s">
        <v>1723</v>
      </c>
    </row>
    <row r="285" spans="1:12" s="49" customFormat="1" ht="16.2" thickBot="1" x14ac:dyDescent="0.35">
      <c r="A285" s="28">
        <v>89</v>
      </c>
      <c r="B285" s="27" t="s">
        <v>708</v>
      </c>
      <c r="C285" s="28">
        <v>2084</v>
      </c>
      <c r="D285" s="6">
        <v>5316</v>
      </c>
      <c r="E285" s="6"/>
      <c r="F285" s="6"/>
      <c r="G285" s="6"/>
      <c r="H285" s="6"/>
      <c r="I285" s="6">
        <f t="shared" si="28"/>
        <v>0</v>
      </c>
      <c r="J285" s="6">
        <f t="shared" si="29"/>
        <v>5316</v>
      </c>
      <c r="K285" s="281"/>
      <c r="L285" s="49" t="s">
        <v>1725</v>
      </c>
    </row>
    <row r="286" spans="1:12" s="49" customFormat="1" ht="16.2" thickBot="1" x14ac:dyDescent="0.35">
      <c r="A286" s="28">
        <v>90</v>
      </c>
      <c r="B286" s="47" t="s">
        <v>166</v>
      </c>
      <c r="C286" s="28">
        <v>2088</v>
      </c>
      <c r="D286" s="6">
        <v>5316</v>
      </c>
      <c r="E286" s="6">
        <v>2088</v>
      </c>
      <c r="F286" s="6">
        <v>1300</v>
      </c>
      <c r="G286" s="6"/>
      <c r="H286" s="6"/>
      <c r="I286" s="6">
        <f t="shared" si="28"/>
        <v>3388</v>
      </c>
      <c r="J286" s="6">
        <f t="shared" si="29"/>
        <v>1928</v>
      </c>
      <c r="K286" s="13" t="s">
        <v>1395</v>
      </c>
    </row>
    <row r="287" spans="1:12" s="49" customFormat="1" ht="16.2" thickBot="1" x14ac:dyDescent="0.35">
      <c r="A287" s="28">
        <v>91</v>
      </c>
      <c r="B287" s="31" t="s">
        <v>284</v>
      </c>
      <c r="C287" s="28">
        <v>2090</v>
      </c>
      <c r="D287" s="6">
        <v>5316</v>
      </c>
      <c r="E287" s="6">
        <v>2500</v>
      </c>
      <c r="F287" s="6"/>
      <c r="G287" s="6"/>
      <c r="H287" s="6"/>
      <c r="I287" s="6">
        <f t="shared" si="28"/>
        <v>2500</v>
      </c>
      <c r="J287" s="6">
        <f t="shared" si="29"/>
        <v>2816</v>
      </c>
      <c r="K287" s="281" t="s">
        <v>1395</v>
      </c>
    </row>
    <row r="288" spans="1:12" s="49" customFormat="1" ht="16.2" thickBot="1" x14ac:dyDescent="0.35">
      <c r="A288" s="28">
        <v>92</v>
      </c>
      <c r="B288" s="31" t="s">
        <v>54</v>
      </c>
      <c r="C288" s="28">
        <v>2091</v>
      </c>
      <c r="D288" s="6">
        <v>5316</v>
      </c>
      <c r="E288" s="6">
        <v>2000</v>
      </c>
      <c r="F288" s="6"/>
      <c r="G288" s="6"/>
      <c r="H288" s="6"/>
      <c r="I288" s="6">
        <f t="shared" si="28"/>
        <v>2000</v>
      </c>
      <c r="J288" s="6">
        <f t="shared" si="29"/>
        <v>3316</v>
      </c>
      <c r="K288" s="281"/>
    </row>
    <row r="289" spans="1:12" s="49" customFormat="1" ht="16.2" thickBot="1" x14ac:dyDescent="0.35">
      <c r="A289" s="28">
        <v>93</v>
      </c>
      <c r="B289" s="27" t="s">
        <v>78</v>
      </c>
      <c r="C289" s="28">
        <v>2092</v>
      </c>
      <c r="D289" s="6">
        <v>5316</v>
      </c>
      <c r="E289" s="6">
        <v>2500</v>
      </c>
      <c r="F289" s="6"/>
      <c r="G289" s="6"/>
      <c r="H289" s="6"/>
      <c r="I289" s="6">
        <f t="shared" si="28"/>
        <v>2500</v>
      </c>
      <c r="J289" s="6">
        <f t="shared" si="29"/>
        <v>2816</v>
      </c>
      <c r="K289" s="281" t="s">
        <v>1395</v>
      </c>
      <c r="L289" s="49" t="s">
        <v>1725</v>
      </c>
    </row>
    <row r="290" spans="1:12" s="49" customFormat="1" ht="16.2" thickBot="1" x14ac:dyDescent="0.35">
      <c r="A290" s="28">
        <v>94</v>
      </c>
      <c r="B290" s="47" t="s">
        <v>132</v>
      </c>
      <c r="C290" s="28">
        <v>2095</v>
      </c>
      <c r="D290" s="6">
        <v>5316</v>
      </c>
      <c r="E290" s="6"/>
      <c r="F290" s="6"/>
      <c r="G290" s="6"/>
      <c r="H290" s="6"/>
      <c r="I290" s="6">
        <f t="shared" si="28"/>
        <v>0</v>
      </c>
      <c r="J290" s="6">
        <f t="shared" si="29"/>
        <v>5316</v>
      </c>
      <c r="K290" s="281"/>
    </row>
    <row r="291" spans="1:12" s="49" customFormat="1" ht="16.2" thickBot="1" x14ac:dyDescent="0.35">
      <c r="A291" s="28">
        <v>95</v>
      </c>
      <c r="B291" s="31" t="s">
        <v>69</v>
      </c>
      <c r="C291" s="28">
        <v>2098</v>
      </c>
      <c r="D291" s="6">
        <v>5316</v>
      </c>
      <c r="E291" s="6">
        <v>1800</v>
      </c>
      <c r="F291" s="6">
        <v>3516</v>
      </c>
      <c r="G291" s="6"/>
      <c r="H291" s="6"/>
      <c r="I291" s="6">
        <f t="shared" si="28"/>
        <v>5316</v>
      </c>
      <c r="J291" s="6">
        <f t="shared" si="29"/>
        <v>0</v>
      </c>
      <c r="K291" s="281" t="s">
        <v>1723</v>
      </c>
    </row>
    <row r="292" spans="1:12" s="49" customFormat="1" ht="16.2" thickBot="1" x14ac:dyDescent="0.35">
      <c r="A292" s="28">
        <v>96</v>
      </c>
      <c r="B292" s="47" t="s">
        <v>133</v>
      </c>
      <c r="C292" s="28">
        <v>2101</v>
      </c>
      <c r="D292" s="6">
        <v>5316</v>
      </c>
      <c r="E292" s="6">
        <v>780</v>
      </c>
      <c r="F292" s="6">
        <v>1240</v>
      </c>
      <c r="G292" s="537">
        <v>574</v>
      </c>
      <c r="H292" s="6"/>
      <c r="I292" s="6">
        <f t="shared" si="28"/>
        <v>2594</v>
      </c>
      <c r="J292" s="6">
        <f t="shared" si="29"/>
        <v>2722</v>
      </c>
      <c r="K292" s="537" t="s">
        <v>1740</v>
      </c>
    </row>
    <row r="293" spans="1:12" s="49" customFormat="1" ht="16.2" thickBot="1" x14ac:dyDescent="0.35">
      <c r="A293" s="28">
        <v>97</v>
      </c>
      <c r="B293" s="31" t="s">
        <v>67</v>
      </c>
      <c r="C293" s="28">
        <v>2099</v>
      </c>
      <c r="D293" s="6">
        <v>5316</v>
      </c>
      <c r="E293" s="6">
        <v>3000</v>
      </c>
      <c r="F293" s="6"/>
      <c r="G293" s="6"/>
      <c r="H293" s="6"/>
      <c r="I293" s="6">
        <f t="shared" si="28"/>
        <v>3000</v>
      </c>
      <c r="J293" s="6">
        <f t="shared" si="29"/>
        <v>2316</v>
      </c>
      <c r="K293" s="281" t="s">
        <v>1395</v>
      </c>
    </row>
    <row r="294" spans="1:12" s="49" customFormat="1" ht="16.2" thickBot="1" x14ac:dyDescent="0.35">
      <c r="A294" s="28">
        <v>98</v>
      </c>
      <c r="B294" s="47" t="s">
        <v>148</v>
      </c>
      <c r="C294" s="28">
        <v>2100</v>
      </c>
      <c r="D294" s="6">
        <v>5316</v>
      </c>
      <c r="E294" s="6">
        <v>4000</v>
      </c>
      <c r="F294" s="6"/>
      <c r="G294" s="6"/>
      <c r="H294" s="6"/>
      <c r="I294" s="6">
        <f t="shared" si="28"/>
        <v>4000</v>
      </c>
      <c r="J294" s="6">
        <f t="shared" si="29"/>
        <v>1316</v>
      </c>
      <c r="K294" s="281" t="s">
        <v>1395</v>
      </c>
    </row>
    <row r="295" spans="1:12" s="49" customFormat="1" ht="16.2" thickBot="1" x14ac:dyDescent="0.35">
      <c r="A295" s="28">
        <v>99</v>
      </c>
      <c r="B295" s="47" t="s">
        <v>142</v>
      </c>
      <c r="C295" s="28">
        <v>2101</v>
      </c>
      <c r="D295" s="6">
        <v>5316</v>
      </c>
      <c r="E295" s="6">
        <v>2000</v>
      </c>
      <c r="F295" s="6">
        <v>3320</v>
      </c>
      <c r="G295" s="6"/>
      <c r="H295" s="6"/>
      <c r="I295" s="6">
        <f t="shared" si="28"/>
        <v>5320</v>
      </c>
      <c r="J295" s="6">
        <f t="shared" si="29"/>
        <v>-4</v>
      </c>
      <c r="K295" s="13" t="s">
        <v>1723</v>
      </c>
    </row>
    <row r="296" spans="1:12" s="49" customFormat="1" ht="16.2" thickBot="1" x14ac:dyDescent="0.35">
      <c r="A296" s="28">
        <v>100</v>
      </c>
      <c r="B296" s="27" t="s">
        <v>167</v>
      </c>
      <c r="C296" s="28">
        <v>2102</v>
      </c>
      <c r="D296" s="6">
        <v>5316</v>
      </c>
      <c r="E296" s="6">
        <v>1150</v>
      </c>
      <c r="F296" s="6">
        <v>2880</v>
      </c>
      <c r="G296" s="6"/>
      <c r="H296" s="6"/>
      <c r="I296" s="6">
        <f t="shared" si="28"/>
        <v>4030</v>
      </c>
      <c r="J296" s="6">
        <f t="shared" si="29"/>
        <v>1286</v>
      </c>
      <c r="K296" s="13" t="s">
        <v>1395</v>
      </c>
    </row>
    <row r="297" spans="1:12" s="49" customFormat="1" ht="16.2" thickBot="1" x14ac:dyDescent="0.35">
      <c r="A297" s="28">
        <v>101</v>
      </c>
      <c r="B297" s="47" t="s">
        <v>159</v>
      </c>
      <c r="C297" s="28">
        <v>2103</v>
      </c>
      <c r="D297" s="6">
        <v>5316</v>
      </c>
      <c r="E297" s="6">
        <v>3000</v>
      </c>
      <c r="F297" s="6"/>
      <c r="G297" s="6"/>
      <c r="H297" s="6"/>
      <c r="I297" s="6">
        <f t="shared" si="28"/>
        <v>3000</v>
      </c>
      <c r="J297" s="6">
        <f t="shared" si="29"/>
        <v>2316</v>
      </c>
      <c r="K297" s="13" t="s">
        <v>1395</v>
      </c>
    </row>
    <row r="298" spans="1:12" s="49" customFormat="1" ht="16.2" thickBot="1" x14ac:dyDescent="0.35">
      <c r="A298" s="28">
        <v>102</v>
      </c>
      <c r="B298" s="47" t="s">
        <v>168</v>
      </c>
      <c r="C298" s="28">
        <v>2104</v>
      </c>
      <c r="D298" s="6">
        <v>5316</v>
      </c>
      <c r="E298" s="6"/>
      <c r="F298" s="6"/>
      <c r="G298" s="6"/>
      <c r="H298" s="6"/>
      <c r="I298" s="6">
        <f t="shared" si="28"/>
        <v>0</v>
      </c>
      <c r="J298" s="6">
        <f t="shared" si="29"/>
        <v>5316</v>
      </c>
      <c r="K298" s="281"/>
      <c r="L298" s="49" t="s">
        <v>1725</v>
      </c>
    </row>
    <row r="299" spans="1:12" s="49" customFormat="1" ht="16.2" thickBot="1" x14ac:dyDescent="0.35">
      <c r="A299" s="28">
        <v>103</v>
      </c>
      <c r="B299" s="27" t="s">
        <v>79</v>
      </c>
      <c r="C299" s="28">
        <v>2106</v>
      </c>
      <c r="D299" s="6">
        <v>5316</v>
      </c>
      <c r="E299" s="6"/>
      <c r="F299" s="6"/>
      <c r="G299" s="6"/>
      <c r="H299" s="6"/>
      <c r="I299" s="6">
        <f t="shared" si="28"/>
        <v>0</v>
      </c>
      <c r="J299" s="6">
        <f t="shared" si="29"/>
        <v>5316</v>
      </c>
      <c r="K299" s="281"/>
      <c r="L299" s="49" t="s">
        <v>1725</v>
      </c>
    </row>
    <row r="300" spans="1:12" s="49" customFormat="1" ht="16.2" thickBot="1" x14ac:dyDescent="0.35">
      <c r="A300" s="28">
        <v>104</v>
      </c>
      <c r="B300" s="27" t="s">
        <v>932</v>
      </c>
      <c r="C300" s="28">
        <v>2120</v>
      </c>
      <c r="D300" s="6">
        <v>5316</v>
      </c>
      <c r="E300" s="6"/>
      <c r="F300" s="6"/>
      <c r="G300" s="6"/>
      <c r="H300" s="6"/>
      <c r="I300" s="6">
        <f t="shared" si="28"/>
        <v>0</v>
      </c>
      <c r="J300" s="6">
        <f t="shared" si="29"/>
        <v>5316</v>
      </c>
      <c r="K300" s="281"/>
    </row>
    <row r="301" spans="1:12" s="49" customFormat="1" ht="16.2" thickBot="1" x14ac:dyDescent="0.35">
      <c r="A301" s="28">
        <v>105</v>
      </c>
      <c r="B301" s="27" t="s">
        <v>870</v>
      </c>
      <c r="C301" s="28">
        <v>1998</v>
      </c>
      <c r="D301" s="6">
        <v>5316</v>
      </c>
      <c r="E301" s="6"/>
      <c r="F301" s="6"/>
      <c r="G301" s="6"/>
      <c r="H301" s="6"/>
      <c r="I301" s="6">
        <f t="shared" si="28"/>
        <v>0</v>
      </c>
      <c r="J301" s="6">
        <f t="shared" si="29"/>
        <v>5316</v>
      </c>
      <c r="K301" s="281"/>
    </row>
    <row r="302" spans="1:12" s="49" customFormat="1" ht="16.2" thickBot="1" x14ac:dyDescent="0.35">
      <c r="A302" s="28">
        <v>106</v>
      </c>
      <c r="B302" s="27" t="s">
        <v>940</v>
      </c>
      <c r="C302" s="28">
        <v>2040</v>
      </c>
      <c r="D302" s="6">
        <v>5316</v>
      </c>
      <c r="E302" s="6"/>
      <c r="F302" s="6"/>
      <c r="G302" s="6"/>
      <c r="H302" s="6"/>
      <c r="I302" s="6">
        <f t="shared" si="28"/>
        <v>0</v>
      </c>
      <c r="J302" s="6">
        <f t="shared" si="29"/>
        <v>5316</v>
      </c>
      <c r="K302" s="281"/>
    </row>
    <row r="303" spans="1:12" s="49" customFormat="1" ht="16.2" thickBot="1" x14ac:dyDescent="0.35">
      <c r="A303" s="28">
        <v>107</v>
      </c>
      <c r="B303" s="27" t="s">
        <v>960</v>
      </c>
      <c r="C303" s="28">
        <v>2094</v>
      </c>
      <c r="D303" s="6">
        <v>5316</v>
      </c>
      <c r="E303" s="6">
        <v>3200</v>
      </c>
      <c r="F303" s="6">
        <v>2116</v>
      </c>
      <c r="G303" s="6"/>
      <c r="H303" s="6"/>
      <c r="I303" s="6">
        <f t="shared" si="28"/>
        <v>5316</v>
      </c>
      <c r="J303" s="6">
        <f t="shared" si="29"/>
        <v>0</v>
      </c>
      <c r="K303" s="13" t="s">
        <v>1395</v>
      </c>
    </row>
    <row r="304" spans="1:12" s="49" customFormat="1" ht="16.2" thickBot="1" x14ac:dyDescent="0.35">
      <c r="A304" s="28">
        <v>108</v>
      </c>
      <c r="B304" s="27" t="s">
        <v>971</v>
      </c>
      <c r="C304" s="28">
        <v>2030</v>
      </c>
      <c r="D304" s="6">
        <v>5316</v>
      </c>
      <c r="E304" s="6">
        <v>1500</v>
      </c>
      <c r="F304" s="6"/>
      <c r="G304" s="6"/>
      <c r="H304" s="6"/>
      <c r="I304" s="6">
        <f t="shared" si="28"/>
        <v>1500</v>
      </c>
      <c r="J304" s="6">
        <f t="shared" si="29"/>
        <v>3816</v>
      </c>
      <c r="K304" s="13" t="s">
        <v>1395</v>
      </c>
    </row>
    <row r="305" spans="1:11" s="49" customFormat="1" ht="16.2" thickBot="1" x14ac:dyDescent="0.35">
      <c r="A305" s="28">
        <v>109</v>
      </c>
      <c r="B305" s="131" t="s">
        <v>977</v>
      </c>
      <c r="C305" s="292"/>
      <c r="D305" s="6">
        <v>5316</v>
      </c>
      <c r="E305" s="281"/>
      <c r="F305" s="6"/>
      <c r="G305" s="6"/>
      <c r="H305" s="6"/>
      <c r="I305" s="6">
        <f t="shared" si="28"/>
        <v>0</v>
      </c>
      <c r="J305" s="6">
        <f t="shared" si="29"/>
        <v>5316</v>
      </c>
      <c r="K305" s="281"/>
    </row>
    <row r="306" spans="1:11" s="49" customFormat="1" ht="16.2" thickBot="1" x14ac:dyDescent="0.35">
      <c r="A306" s="28">
        <v>110</v>
      </c>
      <c r="B306" s="27" t="s">
        <v>980</v>
      </c>
      <c r="C306" s="28">
        <v>2096</v>
      </c>
      <c r="D306" s="6">
        <v>5316</v>
      </c>
      <c r="E306" s="6"/>
      <c r="F306" s="6"/>
      <c r="G306" s="6"/>
      <c r="H306" s="6"/>
      <c r="I306" s="6">
        <f t="shared" si="28"/>
        <v>0</v>
      </c>
      <c r="J306" s="6">
        <f t="shared" si="29"/>
        <v>5316</v>
      </c>
      <c r="K306" s="281"/>
    </row>
    <row r="307" spans="1:11" s="49" customFormat="1" ht="16.2" thickBot="1" x14ac:dyDescent="0.35">
      <c r="A307" s="28">
        <v>111</v>
      </c>
      <c r="B307" s="27" t="s">
        <v>984</v>
      </c>
      <c r="C307" s="28">
        <v>1984</v>
      </c>
      <c r="D307" s="6">
        <v>5316</v>
      </c>
      <c r="E307" s="6"/>
      <c r="F307" s="6"/>
      <c r="G307" s="6"/>
      <c r="H307" s="6"/>
      <c r="I307" s="6">
        <f t="shared" si="28"/>
        <v>0</v>
      </c>
      <c r="J307" s="6">
        <f t="shared" si="29"/>
        <v>5316</v>
      </c>
      <c r="K307" s="281"/>
    </row>
    <row r="308" spans="1:11" s="49" customFormat="1" ht="16.2" thickBot="1" x14ac:dyDescent="0.35">
      <c r="A308" s="28">
        <v>112</v>
      </c>
      <c r="B308" s="27" t="s">
        <v>985</v>
      </c>
      <c r="C308" s="28">
        <v>1840</v>
      </c>
      <c r="D308" s="6">
        <v>5316</v>
      </c>
      <c r="E308" s="6">
        <v>4850</v>
      </c>
      <c r="F308" s="6"/>
      <c r="G308" s="6"/>
      <c r="H308" s="6"/>
      <c r="I308" s="6">
        <f t="shared" si="28"/>
        <v>4850</v>
      </c>
      <c r="J308" s="6">
        <f t="shared" si="29"/>
        <v>466</v>
      </c>
      <c r="K308" s="281" t="s">
        <v>1395</v>
      </c>
    </row>
    <row r="309" spans="1:11" s="49" customFormat="1" ht="16.2" thickBot="1" x14ac:dyDescent="0.35">
      <c r="A309" s="164">
        <v>113</v>
      </c>
      <c r="B309" s="165" t="s">
        <v>986</v>
      </c>
      <c r="C309" s="164">
        <v>2085</v>
      </c>
      <c r="D309" s="83">
        <v>5316</v>
      </c>
      <c r="E309" s="83"/>
      <c r="F309" s="83"/>
      <c r="G309" s="83"/>
      <c r="H309" s="83"/>
      <c r="I309" s="83">
        <f t="shared" si="28"/>
        <v>0</v>
      </c>
      <c r="J309" s="83">
        <f t="shared" si="29"/>
        <v>5316</v>
      </c>
      <c r="K309" s="284"/>
    </row>
    <row r="310" spans="1:11" s="49" customFormat="1" ht="16.2" thickBot="1" x14ac:dyDescent="0.35">
      <c r="A310" s="28">
        <v>114</v>
      </c>
      <c r="B310" s="60" t="s">
        <v>1716</v>
      </c>
      <c r="C310" s="166"/>
      <c r="D310" s="6">
        <v>5316</v>
      </c>
      <c r="E310" s="42">
        <v>2016</v>
      </c>
      <c r="F310" s="42">
        <v>1300</v>
      </c>
      <c r="G310" s="42"/>
      <c r="H310" s="42"/>
      <c r="I310" s="83">
        <f t="shared" ref="I310" si="30">SUM(E310:H310)</f>
        <v>3316</v>
      </c>
      <c r="J310" s="83">
        <f t="shared" ref="J310" si="31">D310-E310-F310-G310-H310</f>
        <v>2000</v>
      </c>
      <c r="K310" s="142" t="s">
        <v>1395</v>
      </c>
    </row>
    <row r="311" spans="1:11" s="49" customFormat="1" ht="16.2" thickBot="1" x14ac:dyDescent="0.35">
      <c r="A311" s="164">
        <v>115</v>
      </c>
      <c r="B311" s="128" t="s">
        <v>993</v>
      </c>
      <c r="C311" s="129">
        <v>2347</v>
      </c>
      <c r="D311" s="74">
        <v>5316</v>
      </c>
      <c r="E311" s="74"/>
      <c r="F311" s="74"/>
      <c r="G311" s="74"/>
      <c r="H311" s="74"/>
      <c r="I311" s="74">
        <f t="shared" si="28"/>
        <v>0</v>
      </c>
      <c r="J311" s="74">
        <f t="shared" si="29"/>
        <v>5316</v>
      </c>
      <c r="K311" s="271"/>
    </row>
    <row r="312" spans="1:11" s="49" customFormat="1" ht="16.2" thickBot="1" x14ac:dyDescent="0.35">
      <c r="A312" s="28">
        <v>116</v>
      </c>
      <c r="B312" s="488" t="s">
        <v>1216</v>
      </c>
      <c r="C312" s="129">
        <v>2041</v>
      </c>
      <c r="D312" s="74">
        <v>5316</v>
      </c>
      <c r="E312" s="488">
        <v>2500</v>
      </c>
      <c r="F312" s="488">
        <v>1500</v>
      </c>
      <c r="G312" s="488"/>
      <c r="H312" s="488"/>
      <c r="I312" s="488">
        <f t="shared" si="28"/>
        <v>4000</v>
      </c>
      <c r="J312" s="488">
        <f t="shared" si="29"/>
        <v>1316</v>
      </c>
      <c r="K312" s="74" t="s">
        <v>1395</v>
      </c>
    </row>
    <row r="313" spans="1:11" s="49" customFormat="1" ht="15.6" x14ac:dyDescent="0.3">
      <c r="A313" s="166"/>
      <c r="B313" s="60"/>
      <c r="D313" s="495">
        <f>SUM(D196:D312)</f>
        <v>621972</v>
      </c>
      <c r="E313" s="495">
        <f t="shared" ref="E313:J313" si="32">SUM(E196:E312)</f>
        <v>230945</v>
      </c>
      <c r="F313" s="495">
        <f t="shared" si="32"/>
        <v>51248</v>
      </c>
      <c r="G313" s="495">
        <f t="shared" si="32"/>
        <v>7022</v>
      </c>
      <c r="H313" s="495">
        <f t="shared" si="32"/>
        <v>0</v>
      </c>
      <c r="I313" s="495">
        <f t="shared" si="32"/>
        <v>289215</v>
      </c>
      <c r="J313" s="495">
        <f t="shared" si="32"/>
        <v>330085</v>
      </c>
      <c r="K313" s="42"/>
    </row>
    <row r="314" spans="1:11" s="49" customFormat="1" ht="15.6" x14ac:dyDescent="0.3">
      <c r="A314" s="166"/>
      <c r="B314" s="60"/>
      <c r="C314" s="166"/>
      <c r="D314" s="42"/>
      <c r="E314" s="42"/>
      <c r="F314" s="42"/>
      <c r="G314" s="42"/>
      <c r="H314" s="42"/>
      <c r="I314" s="42"/>
      <c r="J314" s="42"/>
      <c r="K314" s="42"/>
    </row>
    <row r="315" spans="1:11" ht="15.6" x14ac:dyDescent="0.3">
      <c r="A315" s="87"/>
      <c r="B315" s="87"/>
      <c r="C315" s="87"/>
      <c r="D315" s="88"/>
      <c r="E315" s="88"/>
      <c r="F315" s="88"/>
      <c r="G315" s="88"/>
      <c r="H315" s="88"/>
      <c r="I315" s="88"/>
      <c r="J315" s="88"/>
      <c r="K315" s="87"/>
    </row>
    <row r="316" spans="1:11" ht="16.2" thickBot="1" x14ac:dyDescent="0.35">
      <c r="A316" s="137" t="s">
        <v>1307</v>
      </c>
      <c r="B316" s="79"/>
      <c r="C316" s="80"/>
      <c r="D316" s="80"/>
      <c r="E316" s="80"/>
      <c r="F316" s="80"/>
      <c r="G316" s="80"/>
      <c r="H316" s="80"/>
      <c r="I316" s="80"/>
      <c r="J316" s="80"/>
      <c r="K316" s="86"/>
    </row>
    <row r="317" spans="1:11" ht="27.6" thickBot="1" x14ac:dyDescent="0.35">
      <c r="A317" s="16" t="s">
        <v>0</v>
      </c>
      <c r="B317" s="8" t="s">
        <v>1</v>
      </c>
      <c r="C317" s="16" t="s">
        <v>2</v>
      </c>
      <c r="D317" s="69" t="s">
        <v>854</v>
      </c>
      <c r="E317" s="580" t="s">
        <v>855</v>
      </c>
      <c r="F317" s="581"/>
      <c r="G317" s="581"/>
      <c r="H317" s="582"/>
      <c r="I317" s="111"/>
      <c r="J317" s="70" t="s">
        <v>856</v>
      </c>
      <c r="K317" s="8" t="s">
        <v>3</v>
      </c>
    </row>
    <row r="318" spans="1:11" s="51" customFormat="1" ht="16.2" thickBot="1" x14ac:dyDescent="0.35">
      <c r="A318" s="9">
        <v>1</v>
      </c>
      <c r="B318" s="4" t="s">
        <v>143</v>
      </c>
      <c r="C318" s="9">
        <v>2110</v>
      </c>
      <c r="D318" s="6">
        <v>4956</v>
      </c>
      <c r="E318" s="6">
        <v>3000</v>
      </c>
      <c r="F318" s="6">
        <v>1950</v>
      </c>
      <c r="G318" s="6"/>
      <c r="H318" s="6"/>
      <c r="I318" s="6">
        <f>SUM(E318:H318)</f>
        <v>4950</v>
      </c>
      <c r="J318" s="6">
        <f>D318-E318-F318-G318-H318</f>
        <v>6</v>
      </c>
      <c r="K318" s="6"/>
    </row>
    <row r="319" spans="1:11" s="51" customFormat="1" ht="16.2" thickBot="1" x14ac:dyDescent="0.35">
      <c r="A319" s="9">
        <v>2</v>
      </c>
      <c r="B319" s="12" t="s">
        <v>681</v>
      </c>
      <c r="C319" s="11">
        <v>1637</v>
      </c>
      <c r="D319" s="6">
        <v>4956</v>
      </c>
      <c r="E319" s="6"/>
      <c r="F319" s="6"/>
      <c r="G319" s="6"/>
      <c r="H319" s="6"/>
      <c r="I319" s="6">
        <f t="shared" ref="I319:I344" si="33">SUM(E319:H319)</f>
        <v>0</v>
      </c>
      <c r="J319" s="6">
        <f t="shared" ref="J319:J320" si="34">D319-E319-F319-G319-H319</f>
        <v>4956</v>
      </c>
      <c r="K319" s="6"/>
    </row>
    <row r="320" spans="1:11" s="51" customFormat="1" ht="16.2" thickBot="1" x14ac:dyDescent="0.35">
      <c r="A320" s="9">
        <v>3</v>
      </c>
      <c r="B320" s="52" t="s">
        <v>62</v>
      </c>
      <c r="C320" s="11">
        <v>1957</v>
      </c>
      <c r="D320" s="6">
        <v>4956</v>
      </c>
      <c r="E320" s="6">
        <v>5000</v>
      </c>
      <c r="F320" s="6"/>
      <c r="G320" s="6"/>
      <c r="H320" s="6"/>
      <c r="I320" s="6">
        <f t="shared" si="33"/>
        <v>5000</v>
      </c>
      <c r="J320" s="6">
        <f t="shared" si="34"/>
        <v>-44</v>
      </c>
      <c r="K320" s="6"/>
    </row>
    <row r="321" spans="1:12" s="51" customFormat="1" ht="16.2" thickBot="1" x14ac:dyDescent="0.35">
      <c r="A321" s="9">
        <v>4</v>
      </c>
      <c r="B321" s="52" t="s">
        <v>12</v>
      </c>
      <c r="C321" s="9">
        <v>1525</v>
      </c>
      <c r="D321" s="6">
        <v>4956</v>
      </c>
      <c r="E321" s="6">
        <v>3500</v>
      </c>
      <c r="F321" s="6">
        <v>1456</v>
      </c>
      <c r="G321" s="6"/>
      <c r="H321" s="6"/>
      <c r="I321" s="6">
        <f t="shared" si="33"/>
        <v>4956</v>
      </c>
      <c r="J321" s="6">
        <f t="shared" ref="J321:J344" si="35">D321-E321-F321-G321-H321</f>
        <v>0</v>
      </c>
      <c r="K321" s="6"/>
    </row>
    <row r="322" spans="1:12" s="51" customFormat="1" ht="16.2" thickBot="1" x14ac:dyDescent="0.35">
      <c r="A322" s="9">
        <v>5</v>
      </c>
      <c r="B322" s="564" t="s">
        <v>169</v>
      </c>
      <c r="C322" s="565">
        <v>1526</v>
      </c>
      <c r="D322" s="553">
        <v>4956</v>
      </c>
      <c r="E322" s="553"/>
      <c r="F322" s="553"/>
      <c r="G322" s="553"/>
      <c r="H322" s="553"/>
      <c r="I322" s="553">
        <f t="shared" si="33"/>
        <v>0</v>
      </c>
      <c r="J322" s="553">
        <f t="shared" si="35"/>
        <v>4956</v>
      </c>
      <c r="K322" s="553" t="s">
        <v>1736</v>
      </c>
    </row>
    <row r="323" spans="1:12" s="51" customFormat="1" ht="16.2" thickBot="1" x14ac:dyDescent="0.35">
      <c r="A323" s="9">
        <v>6</v>
      </c>
      <c r="B323" s="52" t="s">
        <v>297</v>
      </c>
      <c r="C323" s="11">
        <v>1641</v>
      </c>
      <c r="D323" s="6">
        <v>4956</v>
      </c>
      <c r="E323" s="6">
        <v>2000</v>
      </c>
      <c r="F323" s="6"/>
      <c r="G323" s="6"/>
      <c r="H323" s="6"/>
      <c r="I323" s="6">
        <f t="shared" si="33"/>
        <v>2000</v>
      </c>
      <c r="J323" s="6">
        <f t="shared" si="35"/>
        <v>2956</v>
      </c>
      <c r="K323" s="6" t="s">
        <v>1395</v>
      </c>
    </row>
    <row r="324" spans="1:12" s="51" customFormat="1" ht="16.2" thickBot="1" x14ac:dyDescent="0.35">
      <c r="A324" s="9">
        <v>7</v>
      </c>
      <c r="B324" s="52" t="s">
        <v>682</v>
      </c>
      <c r="C324" s="11">
        <v>1643</v>
      </c>
      <c r="D324" s="6">
        <v>4956</v>
      </c>
      <c r="E324" s="6">
        <v>1500</v>
      </c>
      <c r="F324" s="6">
        <v>2000</v>
      </c>
      <c r="G324" s="6">
        <v>1456</v>
      </c>
      <c r="H324" s="6"/>
      <c r="I324" s="6">
        <f t="shared" si="33"/>
        <v>4956</v>
      </c>
      <c r="J324" s="6">
        <f t="shared" si="35"/>
        <v>0</v>
      </c>
      <c r="K324" s="6"/>
      <c r="L324" s="51" t="s">
        <v>1717</v>
      </c>
    </row>
    <row r="325" spans="1:12" s="51" customFormat="1" ht="16.2" thickBot="1" x14ac:dyDescent="0.35">
      <c r="A325" s="9">
        <v>8</v>
      </c>
      <c r="B325" s="52" t="s">
        <v>288</v>
      </c>
      <c r="C325" s="9">
        <v>1992</v>
      </c>
      <c r="D325" s="6">
        <v>4956</v>
      </c>
      <c r="E325" s="6">
        <v>3000</v>
      </c>
      <c r="F325" s="6">
        <v>1960</v>
      </c>
      <c r="G325" s="6"/>
      <c r="H325" s="6"/>
      <c r="I325" s="6">
        <f t="shared" si="33"/>
        <v>4960</v>
      </c>
      <c r="J325" s="6">
        <f t="shared" si="35"/>
        <v>-4</v>
      </c>
      <c r="K325" s="6" t="s">
        <v>1395</v>
      </c>
    </row>
    <row r="326" spans="1:12" s="51" customFormat="1" ht="16.2" thickBot="1" x14ac:dyDescent="0.35">
      <c r="A326" s="9">
        <v>9</v>
      </c>
      <c r="B326" s="12" t="s">
        <v>74</v>
      </c>
      <c r="C326" s="9">
        <v>1087</v>
      </c>
      <c r="D326" s="6">
        <v>4956</v>
      </c>
      <c r="E326" s="6">
        <v>4990</v>
      </c>
      <c r="F326" s="6"/>
      <c r="G326" s="6"/>
      <c r="H326" s="6"/>
      <c r="I326" s="6">
        <f t="shared" si="33"/>
        <v>4990</v>
      </c>
      <c r="J326" s="6">
        <f t="shared" si="35"/>
        <v>-34</v>
      </c>
      <c r="K326" s="6"/>
    </row>
    <row r="327" spans="1:12" s="51" customFormat="1" ht="16.2" thickBot="1" x14ac:dyDescent="0.35">
      <c r="A327" s="9">
        <v>10</v>
      </c>
      <c r="B327" s="12" t="s">
        <v>173</v>
      </c>
      <c r="C327" s="9" t="s">
        <v>174</v>
      </c>
      <c r="D327" s="6">
        <v>4956</v>
      </c>
      <c r="E327" s="6">
        <v>2500</v>
      </c>
      <c r="F327" s="6">
        <v>0</v>
      </c>
      <c r="G327" s="6"/>
      <c r="H327" s="6"/>
      <c r="I327" s="6">
        <f t="shared" si="33"/>
        <v>2500</v>
      </c>
      <c r="J327" s="6">
        <f t="shared" si="35"/>
        <v>2456</v>
      </c>
      <c r="K327" s="6" t="s">
        <v>1395</v>
      </c>
    </row>
    <row r="328" spans="1:12" s="51" customFormat="1" ht="16.2" thickBot="1" x14ac:dyDescent="0.35">
      <c r="A328" s="9">
        <v>11</v>
      </c>
      <c r="B328" s="12" t="s">
        <v>1764</v>
      </c>
      <c r="C328" s="9">
        <v>1862</v>
      </c>
      <c r="D328" s="6">
        <v>4956</v>
      </c>
      <c r="E328" s="6">
        <v>2500</v>
      </c>
      <c r="F328" s="6"/>
      <c r="G328" s="6"/>
      <c r="H328" s="6"/>
      <c r="I328" s="6">
        <f t="shared" si="33"/>
        <v>2500</v>
      </c>
      <c r="J328" s="6">
        <f t="shared" si="35"/>
        <v>2456</v>
      </c>
      <c r="K328" s="6" t="s">
        <v>1395</v>
      </c>
    </row>
    <row r="329" spans="1:12" s="51" customFormat="1" ht="16.2" thickBot="1" x14ac:dyDescent="0.35">
      <c r="A329" s="9">
        <v>12</v>
      </c>
      <c r="B329" s="12" t="s">
        <v>75</v>
      </c>
      <c r="C329" s="11">
        <v>1861</v>
      </c>
      <c r="D329" s="6">
        <v>4956</v>
      </c>
      <c r="E329" s="6">
        <v>2500</v>
      </c>
      <c r="F329" s="6"/>
      <c r="G329" s="6"/>
      <c r="H329" s="6"/>
      <c r="I329" s="6">
        <f t="shared" si="33"/>
        <v>2500</v>
      </c>
      <c r="J329" s="6">
        <f t="shared" si="35"/>
        <v>2456</v>
      </c>
      <c r="K329" s="6" t="s">
        <v>1395</v>
      </c>
    </row>
    <row r="330" spans="1:12" s="51" customFormat="1" ht="16.2" thickBot="1" x14ac:dyDescent="0.35">
      <c r="A330" s="9">
        <v>13</v>
      </c>
      <c r="B330" s="52" t="s">
        <v>8</v>
      </c>
      <c r="C330" s="11">
        <v>1520</v>
      </c>
      <c r="D330" s="6">
        <v>4956</v>
      </c>
      <c r="E330" s="6"/>
      <c r="F330" s="6"/>
      <c r="G330" s="6"/>
      <c r="H330" s="6"/>
      <c r="I330" s="6">
        <f t="shared" si="33"/>
        <v>0</v>
      </c>
      <c r="J330" s="6">
        <f t="shared" si="35"/>
        <v>4956</v>
      </c>
      <c r="K330" s="6"/>
    </row>
    <row r="331" spans="1:12" s="51" customFormat="1" ht="16.2" thickBot="1" x14ac:dyDescent="0.35">
      <c r="A331" s="9">
        <v>14</v>
      </c>
      <c r="B331" s="564" t="s">
        <v>449</v>
      </c>
      <c r="C331" s="565">
        <v>1877</v>
      </c>
      <c r="D331" s="553">
        <v>4956</v>
      </c>
      <c r="E331" s="553"/>
      <c r="F331" s="553"/>
      <c r="G331" s="553"/>
      <c r="H331" s="553"/>
      <c r="I331" s="553">
        <f t="shared" si="33"/>
        <v>0</v>
      </c>
      <c r="J331" s="553">
        <f t="shared" si="35"/>
        <v>4956</v>
      </c>
      <c r="K331" s="553" t="s">
        <v>1736</v>
      </c>
    </row>
    <row r="332" spans="1:12" s="51" customFormat="1" ht="16.2" thickBot="1" x14ac:dyDescent="0.35">
      <c r="A332" s="9">
        <v>15</v>
      </c>
      <c r="B332" s="12" t="s">
        <v>286</v>
      </c>
      <c r="C332" s="9">
        <v>1656</v>
      </c>
      <c r="D332" s="6">
        <v>4956</v>
      </c>
      <c r="E332" s="6">
        <v>1280</v>
      </c>
      <c r="F332" s="6">
        <v>1250</v>
      </c>
      <c r="G332" s="6">
        <v>1000</v>
      </c>
      <c r="H332" s="6">
        <v>1500</v>
      </c>
      <c r="I332" s="6">
        <f t="shared" si="33"/>
        <v>5030</v>
      </c>
      <c r="J332" s="6">
        <f t="shared" si="35"/>
        <v>-74</v>
      </c>
      <c r="K332" s="6" t="s">
        <v>1395</v>
      </c>
      <c r="L332" s="51" t="s">
        <v>1713</v>
      </c>
    </row>
    <row r="333" spans="1:12" s="51" customFormat="1" ht="16.2" thickBot="1" x14ac:dyDescent="0.35">
      <c r="A333" s="9">
        <v>16</v>
      </c>
      <c r="B333" s="4" t="s">
        <v>305</v>
      </c>
      <c r="C333" s="11">
        <v>1642</v>
      </c>
      <c r="D333" s="6">
        <v>4956</v>
      </c>
      <c r="E333" s="6">
        <v>2030</v>
      </c>
      <c r="F333" s="6"/>
      <c r="G333" s="6"/>
      <c r="H333" s="6"/>
      <c r="I333" s="6">
        <f t="shared" si="33"/>
        <v>2030</v>
      </c>
      <c r="J333" s="6">
        <f t="shared" si="35"/>
        <v>2926</v>
      </c>
      <c r="K333" s="6"/>
    </row>
    <row r="334" spans="1:12" s="51" customFormat="1" ht="16.2" thickBot="1" x14ac:dyDescent="0.35">
      <c r="A334" s="9">
        <v>17</v>
      </c>
      <c r="B334" s="12" t="s">
        <v>171</v>
      </c>
      <c r="C334" s="11">
        <v>1657</v>
      </c>
      <c r="D334" s="6">
        <v>4956</v>
      </c>
      <c r="E334" s="6"/>
      <c r="F334" s="6"/>
      <c r="G334" s="6"/>
      <c r="H334" s="6"/>
      <c r="I334" s="6">
        <f t="shared" si="33"/>
        <v>0</v>
      </c>
      <c r="J334" s="6">
        <f t="shared" si="35"/>
        <v>4956</v>
      </c>
      <c r="K334" s="6"/>
    </row>
    <row r="335" spans="1:12" s="51" customFormat="1" ht="16.2" thickBot="1" x14ac:dyDescent="0.35">
      <c r="A335" s="9">
        <v>18</v>
      </c>
      <c r="B335" s="52" t="s">
        <v>337</v>
      </c>
      <c r="C335" s="11">
        <v>1650</v>
      </c>
      <c r="D335" s="6">
        <v>4956</v>
      </c>
      <c r="E335" s="6"/>
      <c r="F335" s="6"/>
      <c r="G335" s="6"/>
      <c r="H335" s="6"/>
      <c r="I335" s="6">
        <f t="shared" si="33"/>
        <v>0</v>
      </c>
      <c r="J335" s="6">
        <f t="shared" si="35"/>
        <v>4956</v>
      </c>
      <c r="K335" s="6"/>
    </row>
    <row r="336" spans="1:12" s="51" customFormat="1" ht="16.2" thickBot="1" x14ac:dyDescent="0.35">
      <c r="A336" s="9">
        <v>19</v>
      </c>
      <c r="B336" s="12" t="s">
        <v>170</v>
      </c>
      <c r="C336" s="11">
        <v>1659</v>
      </c>
      <c r="D336" s="6">
        <v>4956</v>
      </c>
      <c r="E336" s="6">
        <v>2500</v>
      </c>
      <c r="F336" s="6">
        <v>2456</v>
      </c>
      <c r="G336" s="6"/>
      <c r="H336" s="6"/>
      <c r="I336" s="6">
        <f t="shared" si="33"/>
        <v>4956</v>
      </c>
      <c r="J336" s="6">
        <f t="shared" si="35"/>
        <v>0</v>
      </c>
      <c r="K336" s="6" t="s">
        <v>1395</v>
      </c>
    </row>
    <row r="337" spans="1:11" s="51" customFormat="1" ht="16.2" thickBot="1" x14ac:dyDescent="0.35">
      <c r="A337" s="9">
        <v>20</v>
      </c>
      <c r="B337" s="12" t="s">
        <v>76</v>
      </c>
      <c r="C337" s="11">
        <v>1866</v>
      </c>
      <c r="D337" s="6">
        <v>4956</v>
      </c>
      <c r="E337" s="6">
        <v>2000</v>
      </c>
      <c r="F337" s="537">
        <v>500</v>
      </c>
      <c r="G337" s="6">
        <v>2000</v>
      </c>
      <c r="H337" s="6"/>
      <c r="I337" s="6">
        <f t="shared" si="33"/>
        <v>4500</v>
      </c>
      <c r="J337" s="6">
        <f t="shared" si="35"/>
        <v>456</v>
      </c>
      <c r="K337" s="537" t="s">
        <v>1733</v>
      </c>
    </row>
    <row r="338" spans="1:11" s="51" customFormat="1" ht="16.2" thickBot="1" x14ac:dyDescent="0.35">
      <c r="A338" s="9">
        <v>21</v>
      </c>
      <c r="B338" s="12" t="s">
        <v>72</v>
      </c>
      <c r="C338" s="9">
        <v>1857</v>
      </c>
      <c r="D338" s="6">
        <v>4956</v>
      </c>
      <c r="E338" s="6">
        <v>2000</v>
      </c>
      <c r="F338" s="6">
        <v>2956</v>
      </c>
      <c r="G338" s="6"/>
      <c r="H338" s="6"/>
      <c r="I338" s="6">
        <f t="shared" si="33"/>
        <v>4956</v>
      </c>
      <c r="J338" s="6">
        <f t="shared" si="35"/>
        <v>0</v>
      </c>
      <c r="K338" s="6" t="s">
        <v>1564</v>
      </c>
    </row>
    <row r="339" spans="1:11" s="51" customFormat="1" ht="16.2" thickBot="1" x14ac:dyDescent="0.35">
      <c r="A339" s="9">
        <v>22</v>
      </c>
      <c r="B339" s="12" t="s">
        <v>71</v>
      </c>
      <c r="C339" s="11">
        <v>1662</v>
      </c>
      <c r="D339" s="6">
        <v>4956</v>
      </c>
      <c r="E339" s="6">
        <v>4130</v>
      </c>
      <c r="F339" s="6">
        <v>826</v>
      </c>
      <c r="G339" s="6"/>
      <c r="H339" s="6"/>
      <c r="I339" s="6">
        <f t="shared" si="33"/>
        <v>4956</v>
      </c>
      <c r="J339" s="6">
        <f t="shared" si="35"/>
        <v>0</v>
      </c>
      <c r="K339" s="6"/>
    </row>
    <row r="340" spans="1:11" s="51" customFormat="1" ht="16.2" thickBot="1" x14ac:dyDescent="0.35">
      <c r="A340" s="9">
        <v>23</v>
      </c>
      <c r="B340" s="564" t="s">
        <v>172</v>
      </c>
      <c r="C340" s="566">
        <v>1663</v>
      </c>
      <c r="D340" s="553">
        <v>4956</v>
      </c>
      <c r="E340" s="553"/>
      <c r="F340" s="553"/>
      <c r="G340" s="553"/>
      <c r="H340" s="553"/>
      <c r="I340" s="553">
        <f t="shared" si="33"/>
        <v>0</v>
      </c>
      <c r="J340" s="553">
        <f t="shared" si="35"/>
        <v>4956</v>
      </c>
      <c r="K340" s="553" t="s">
        <v>1736</v>
      </c>
    </row>
    <row r="341" spans="1:11" s="51" customFormat="1" ht="16.2" thickBot="1" x14ac:dyDescent="0.35">
      <c r="A341" s="9">
        <v>24</v>
      </c>
      <c r="B341" s="567" t="s">
        <v>73</v>
      </c>
      <c r="C341" s="565">
        <v>1664</v>
      </c>
      <c r="D341" s="553">
        <v>4956</v>
      </c>
      <c r="E341" s="553"/>
      <c r="F341" s="553"/>
      <c r="G341" s="553"/>
      <c r="H341" s="553"/>
      <c r="I341" s="553">
        <f t="shared" si="33"/>
        <v>0</v>
      </c>
      <c r="J341" s="553">
        <f t="shared" si="35"/>
        <v>4956</v>
      </c>
      <c r="K341" s="553" t="s">
        <v>1736</v>
      </c>
    </row>
    <row r="342" spans="1:11" s="1" customFormat="1" ht="16.2" thickBot="1" x14ac:dyDescent="0.35">
      <c r="A342" s="9">
        <v>25</v>
      </c>
      <c r="B342" s="12" t="s">
        <v>61</v>
      </c>
      <c r="C342" s="9">
        <v>2097</v>
      </c>
      <c r="D342" s="6">
        <v>4956</v>
      </c>
      <c r="E342" s="6">
        <v>3000</v>
      </c>
      <c r="F342" s="6"/>
      <c r="G342" s="6"/>
      <c r="H342" s="6"/>
      <c r="I342" s="6">
        <f t="shared" si="33"/>
        <v>3000</v>
      </c>
      <c r="J342" s="6">
        <f t="shared" si="35"/>
        <v>1956</v>
      </c>
      <c r="K342" s="6"/>
    </row>
    <row r="343" spans="1:11" s="50" customFormat="1" ht="16.2" thickBot="1" x14ac:dyDescent="0.35">
      <c r="A343" s="9">
        <v>26</v>
      </c>
      <c r="B343" s="52" t="s">
        <v>292</v>
      </c>
      <c r="C343" s="11">
        <v>1665</v>
      </c>
      <c r="D343" s="6">
        <v>4956</v>
      </c>
      <c r="E343" s="6">
        <v>2000</v>
      </c>
      <c r="F343" s="6">
        <v>2956</v>
      </c>
      <c r="G343" s="6"/>
      <c r="H343" s="6"/>
      <c r="I343" s="6">
        <f t="shared" si="33"/>
        <v>4956</v>
      </c>
      <c r="J343" s="6">
        <f t="shared" si="35"/>
        <v>0</v>
      </c>
      <c r="K343" s="6" t="s">
        <v>1395</v>
      </c>
    </row>
    <row r="344" spans="1:11" s="50" customFormat="1" ht="16.2" thickBot="1" x14ac:dyDescent="0.35">
      <c r="A344" s="136">
        <v>27</v>
      </c>
      <c r="B344" s="168" t="s">
        <v>290</v>
      </c>
      <c r="C344" s="156">
        <v>1668</v>
      </c>
      <c r="D344" s="6">
        <v>4956</v>
      </c>
      <c r="E344" s="83">
        <v>2000</v>
      </c>
      <c r="F344" s="83">
        <v>1000</v>
      </c>
      <c r="G344" s="83"/>
      <c r="H344" s="83"/>
      <c r="I344" s="83">
        <f t="shared" si="33"/>
        <v>3000</v>
      </c>
      <c r="J344" s="83">
        <f t="shared" si="35"/>
        <v>1956</v>
      </c>
      <c r="K344" s="83"/>
    </row>
    <row r="345" spans="1:11" s="50" customFormat="1" ht="16.2" thickBot="1" x14ac:dyDescent="0.35">
      <c r="A345" s="9">
        <v>28</v>
      </c>
      <c r="B345" s="4" t="s">
        <v>1763</v>
      </c>
      <c r="C345" s="9">
        <v>1517</v>
      </c>
      <c r="D345" s="6">
        <v>2478</v>
      </c>
      <c r="E345" s="42">
        <v>200</v>
      </c>
      <c r="F345" s="42"/>
      <c r="G345" s="42"/>
      <c r="H345" s="42"/>
      <c r="I345" s="42"/>
      <c r="J345" s="42"/>
      <c r="K345" s="42"/>
    </row>
    <row r="346" spans="1:11" s="50" customFormat="1" ht="15.6" x14ac:dyDescent="0.3">
      <c r="A346" s="138"/>
      <c r="B346" s="169"/>
      <c r="C346" s="140"/>
      <c r="D346" s="494">
        <f>SUM(D318:D344)</f>
        <v>133812</v>
      </c>
      <c r="E346" s="494">
        <f>SUM(E318:E345)</f>
        <v>51630</v>
      </c>
      <c r="F346" s="494">
        <f t="shared" ref="F346:J346" si="36">SUM(F318:F344)</f>
        <v>19310</v>
      </c>
      <c r="G346" s="494">
        <f t="shared" si="36"/>
        <v>4456</v>
      </c>
      <c r="H346" s="494">
        <f t="shared" si="36"/>
        <v>1500</v>
      </c>
      <c r="I346" s="494">
        <f t="shared" si="36"/>
        <v>76696</v>
      </c>
      <c r="J346" s="494">
        <f t="shared" si="36"/>
        <v>57116</v>
      </c>
      <c r="K346" s="170"/>
    </row>
    <row r="347" spans="1:11" ht="15.6" x14ac:dyDescent="0.3">
      <c r="A347" s="43"/>
      <c r="B347" s="43"/>
      <c r="C347" s="43"/>
      <c r="D347" s="42"/>
      <c r="E347" s="42"/>
      <c r="F347" s="42"/>
      <c r="G347" s="42"/>
      <c r="H347" s="42"/>
      <c r="I347" s="42"/>
      <c r="J347" s="42"/>
      <c r="K347" s="43"/>
    </row>
    <row r="348" spans="1:11" ht="15.6" x14ac:dyDescent="0.3">
      <c r="A348" s="87"/>
      <c r="B348" s="87"/>
      <c r="C348" s="87"/>
      <c r="D348" s="88"/>
      <c r="E348" s="88"/>
      <c r="F348" s="88"/>
      <c r="G348" s="88"/>
      <c r="H348" s="88"/>
      <c r="I348" s="88"/>
      <c r="J348" s="88"/>
      <c r="K348" s="87"/>
    </row>
    <row r="349" spans="1:11" ht="16.2" thickBot="1" x14ac:dyDescent="0.35">
      <c r="A349" s="137" t="s">
        <v>6</v>
      </c>
      <c r="B349" s="79"/>
      <c r="C349" s="80"/>
      <c r="D349" s="80"/>
      <c r="E349" s="80"/>
      <c r="F349" s="80"/>
      <c r="G349" s="80"/>
      <c r="H349" s="80"/>
      <c r="I349" s="80"/>
      <c r="J349" s="80"/>
      <c r="K349" s="86"/>
    </row>
    <row r="350" spans="1:11" ht="27.6" thickBot="1" x14ac:dyDescent="0.35">
      <c r="A350" s="16" t="s">
        <v>0</v>
      </c>
      <c r="B350" s="8" t="s">
        <v>1</v>
      </c>
      <c r="C350" s="16" t="s">
        <v>2</v>
      </c>
      <c r="D350" s="69" t="s">
        <v>854</v>
      </c>
      <c r="E350" s="580" t="s">
        <v>855</v>
      </c>
      <c r="F350" s="581"/>
      <c r="G350" s="581"/>
      <c r="H350" s="582"/>
      <c r="I350" s="111"/>
      <c r="J350" s="70" t="s">
        <v>856</v>
      </c>
      <c r="K350" s="8" t="s">
        <v>3</v>
      </c>
    </row>
    <row r="351" spans="1:11" ht="16.2" thickBot="1" x14ac:dyDescent="0.35">
      <c r="A351" s="9">
        <v>1</v>
      </c>
      <c r="B351" s="4" t="s">
        <v>1746</v>
      </c>
      <c r="C351" s="9"/>
      <c r="D351" s="6">
        <v>6072</v>
      </c>
      <c r="E351" s="6">
        <v>2040</v>
      </c>
      <c r="F351" s="6">
        <v>1500</v>
      </c>
      <c r="G351" s="6">
        <v>1000</v>
      </c>
      <c r="H351" s="6"/>
      <c r="I351" s="6">
        <f>SUM(E351:H351)</f>
        <v>4540</v>
      </c>
      <c r="J351" s="6">
        <f>D351-E351-F351-G351-H351</f>
        <v>1532</v>
      </c>
      <c r="K351" s="6" t="s">
        <v>1395</v>
      </c>
    </row>
    <row r="352" spans="1:11" ht="16.2" thickBot="1" x14ac:dyDescent="0.35">
      <c r="A352" s="9">
        <v>2</v>
      </c>
      <c r="B352" s="4" t="s">
        <v>1382</v>
      </c>
      <c r="C352" s="9"/>
      <c r="D352" s="6">
        <v>6072</v>
      </c>
      <c r="E352" s="6">
        <v>2040</v>
      </c>
      <c r="F352" s="6">
        <v>1000</v>
      </c>
      <c r="G352" s="6">
        <v>3032</v>
      </c>
      <c r="H352" s="6"/>
      <c r="I352" s="6">
        <f t="shared" ref="I352:I357" si="37">SUM(E352:H352)</f>
        <v>6072</v>
      </c>
      <c r="J352" s="6">
        <f t="shared" ref="J352:J360" si="38">D352-E352-F352-G352-H352</f>
        <v>0</v>
      </c>
      <c r="K352" s="13" t="s">
        <v>1395</v>
      </c>
    </row>
    <row r="353" spans="1:11" ht="16.2" thickBot="1" x14ac:dyDescent="0.35">
      <c r="A353" s="9">
        <v>3</v>
      </c>
      <c r="B353" s="4" t="s">
        <v>1445</v>
      </c>
      <c r="C353" s="9"/>
      <c r="D353" s="6">
        <v>6072</v>
      </c>
      <c r="E353" s="6">
        <v>2040</v>
      </c>
      <c r="F353" s="6">
        <v>2000</v>
      </c>
      <c r="G353" s="6"/>
      <c r="H353" s="6"/>
      <c r="I353" s="6">
        <f t="shared" si="37"/>
        <v>4040</v>
      </c>
      <c r="J353" s="6">
        <f t="shared" si="38"/>
        <v>2032</v>
      </c>
      <c r="K353" s="6" t="s">
        <v>1395</v>
      </c>
    </row>
    <row r="354" spans="1:11" ht="16.2" thickBot="1" x14ac:dyDescent="0.35">
      <c r="A354" s="9">
        <v>4</v>
      </c>
      <c r="B354" s="4" t="s">
        <v>1452</v>
      </c>
      <c r="C354" s="9"/>
      <c r="D354" s="6">
        <v>6072</v>
      </c>
      <c r="E354" s="6">
        <v>2040</v>
      </c>
      <c r="F354" s="6"/>
      <c r="G354" s="6"/>
      <c r="H354" s="6"/>
      <c r="I354" s="6">
        <f t="shared" si="37"/>
        <v>2040</v>
      </c>
      <c r="J354" s="6">
        <f t="shared" si="38"/>
        <v>4032</v>
      </c>
      <c r="K354" s="6"/>
    </row>
    <row r="355" spans="1:11" ht="16.2" thickBot="1" x14ac:dyDescent="0.35">
      <c r="A355" s="9">
        <v>5</v>
      </c>
      <c r="B355" s="4" t="s">
        <v>1513</v>
      </c>
      <c r="C355" s="9"/>
      <c r="D355" s="6">
        <v>6072</v>
      </c>
      <c r="E355" s="6">
        <v>1700</v>
      </c>
      <c r="F355" s="6">
        <v>1900</v>
      </c>
      <c r="G355" s="6">
        <v>700</v>
      </c>
      <c r="H355" s="6"/>
      <c r="I355" s="6">
        <f t="shared" si="37"/>
        <v>4300</v>
      </c>
      <c r="J355" s="6">
        <f t="shared" si="38"/>
        <v>1772</v>
      </c>
      <c r="K355" s="6" t="s">
        <v>1395</v>
      </c>
    </row>
    <row r="356" spans="1:11" ht="16.2" thickBot="1" x14ac:dyDescent="0.35">
      <c r="A356" s="9">
        <v>6</v>
      </c>
      <c r="B356" s="4" t="s">
        <v>1377</v>
      </c>
      <c r="C356" s="9"/>
      <c r="D356" s="6">
        <v>6072</v>
      </c>
      <c r="E356" s="93">
        <v>2040</v>
      </c>
      <c r="F356" s="6">
        <v>2532</v>
      </c>
      <c r="G356" s="6"/>
      <c r="H356" s="6"/>
      <c r="I356" s="6">
        <f>SUM(F356:H356)</f>
        <v>2532</v>
      </c>
      <c r="J356" s="6">
        <f t="shared" si="38"/>
        <v>1500</v>
      </c>
      <c r="K356" s="6" t="s">
        <v>1395</v>
      </c>
    </row>
    <row r="357" spans="1:11" ht="16.2" thickBot="1" x14ac:dyDescent="0.35">
      <c r="A357" s="9">
        <v>7</v>
      </c>
      <c r="B357" s="4" t="s">
        <v>906</v>
      </c>
      <c r="C357" s="9"/>
      <c r="D357" s="6">
        <v>6072</v>
      </c>
      <c r="E357" s="6">
        <v>2000</v>
      </c>
      <c r="F357" s="6"/>
      <c r="G357" s="6"/>
      <c r="H357" s="6"/>
      <c r="I357" s="6">
        <f t="shared" si="37"/>
        <v>2000</v>
      </c>
      <c r="J357" s="6">
        <f t="shared" si="38"/>
        <v>4072</v>
      </c>
      <c r="K357" s="6"/>
    </row>
    <row r="358" spans="1:11" ht="16.2" thickBot="1" x14ac:dyDescent="0.35">
      <c r="A358" s="9">
        <v>8</v>
      </c>
      <c r="B358" s="13" t="s">
        <v>1592</v>
      </c>
      <c r="C358" s="261"/>
      <c r="D358" s="6">
        <v>6072</v>
      </c>
      <c r="E358" s="13">
        <v>1990</v>
      </c>
      <c r="F358" s="13">
        <v>2000</v>
      </c>
      <c r="G358" s="13"/>
      <c r="H358" s="13"/>
      <c r="I358" s="13">
        <f>SUM(E358:H358)</f>
        <v>3990</v>
      </c>
      <c r="J358" s="6">
        <f t="shared" si="38"/>
        <v>2082</v>
      </c>
      <c r="K358" s="6" t="s">
        <v>1395</v>
      </c>
    </row>
    <row r="359" spans="1:11" ht="16.2" thickBot="1" x14ac:dyDescent="0.35">
      <c r="A359" s="9">
        <v>9</v>
      </c>
      <c r="B359" s="274" t="s">
        <v>1536</v>
      </c>
      <c r="C359" s="75"/>
      <c r="D359" s="6">
        <v>6072</v>
      </c>
      <c r="E359" s="274">
        <v>2040</v>
      </c>
      <c r="F359" s="75">
        <v>1000</v>
      </c>
      <c r="G359" s="6">
        <v>3032</v>
      </c>
      <c r="H359" s="6"/>
      <c r="I359" s="13">
        <f t="shared" ref="I359:I360" si="39">SUM(E359:H359)</f>
        <v>6072</v>
      </c>
      <c r="J359" s="6">
        <f t="shared" si="38"/>
        <v>0</v>
      </c>
      <c r="K359" s="6"/>
    </row>
    <row r="360" spans="1:11" ht="16.2" thickBot="1" x14ac:dyDescent="0.35">
      <c r="A360" s="136">
        <v>10</v>
      </c>
      <c r="B360" s="94"/>
      <c r="C360" s="136"/>
      <c r="D360" s="6">
        <v>6072</v>
      </c>
      <c r="E360" s="83"/>
      <c r="F360" s="83"/>
      <c r="G360" s="83"/>
      <c r="H360" s="83"/>
      <c r="I360" s="13">
        <f t="shared" si="39"/>
        <v>0</v>
      </c>
      <c r="J360" s="6">
        <f t="shared" si="38"/>
        <v>6072</v>
      </c>
      <c r="K360" s="84"/>
    </row>
    <row r="361" spans="1:11" ht="15.6" x14ac:dyDescent="0.3">
      <c r="A361" s="92"/>
      <c r="B361" s="92"/>
      <c r="C361" s="92"/>
      <c r="D361" s="494">
        <f>SUM(D351:D360)</f>
        <v>60720</v>
      </c>
      <c r="E361" s="494">
        <f t="shared" ref="E361:J361" si="40">SUM(E351:E360)</f>
        <v>17930</v>
      </c>
      <c r="F361" s="494">
        <f t="shared" si="40"/>
        <v>11932</v>
      </c>
      <c r="G361" s="494">
        <f t="shared" si="40"/>
        <v>7764</v>
      </c>
      <c r="H361" s="494">
        <f t="shared" si="40"/>
        <v>0</v>
      </c>
      <c r="I361" s="494">
        <f t="shared" si="40"/>
        <v>35586</v>
      </c>
      <c r="J361" s="494">
        <f t="shared" si="40"/>
        <v>23094</v>
      </c>
      <c r="K361" s="92"/>
    </row>
    <row r="362" spans="1:11" ht="15.6" x14ac:dyDescent="0.3">
      <c r="A362" s="43"/>
      <c r="B362" s="43"/>
      <c r="C362" s="43"/>
      <c r="D362" s="42"/>
      <c r="E362" s="42"/>
      <c r="F362" s="42"/>
      <c r="G362" s="42"/>
      <c r="H362" s="42"/>
      <c r="I362" s="42"/>
      <c r="J362" s="42"/>
      <c r="K362" s="43"/>
    </row>
    <row r="363" spans="1:11" ht="15.6" x14ac:dyDescent="0.3">
      <c r="A363" s="87"/>
      <c r="B363" s="87"/>
      <c r="C363" s="87"/>
      <c r="D363" s="88"/>
      <c r="E363" s="88"/>
      <c r="F363" s="88"/>
      <c r="G363" s="88"/>
      <c r="H363" s="88"/>
      <c r="I363" s="88"/>
      <c r="J363" s="88"/>
      <c r="K363" s="87"/>
    </row>
    <row r="364" spans="1:11" ht="16.2" thickBot="1" x14ac:dyDescent="0.35">
      <c r="A364" s="137" t="s">
        <v>1308</v>
      </c>
      <c r="B364" s="79"/>
      <c r="C364" s="80"/>
      <c r="D364" s="80"/>
      <c r="E364" s="80"/>
      <c r="F364" s="80"/>
      <c r="G364" s="80"/>
      <c r="H364" s="80"/>
      <c r="I364" s="80"/>
      <c r="J364" s="80"/>
      <c r="K364" s="86"/>
    </row>
    <row r="365" spans="1:11" ht="27.6" thickBot="1" x14ac:dyDescent="0.35">
      <c r="A365" s="16" t="s">
        <v>0</v>
      </c>
      <c r="B365" s="8" t="s">
        <v>1</v>
      </c>
      <c r="C365" s="16" t="s">
        <v>2</v>
      </c>
      <c r="D365" s="69" t="s">
        <v>854</v>
      </c>
      <c r="E365" s="580" t="s">
        <v>855</v>
      </c>
      <c r="F365" s="581"/>
      <c r="G365" s="581"/>
      <c r="H365" s="582"/>
      <c r="I365" s="111"/>
      <c r="J365" s="70" t="s">
        <v>856</v>
      </c>
      <c r="K365" s="8" t="s">
        <v>3</v>
      </c>
    </row>
    <row r="366" spans="1:11" ht="16.2" thickBot="1" x14ac:dyDescent="0.35">
      <c r="A366" s="9">
        <v>1</v>
      </c>
      <c r="B366" s="4" t="s">
        <v>463</v>
      </c>
      <c r="C366" s="9">
        <v>2910</v>
      </c>
      <c r="D366" s="6">
        <v>5196</v>
      </c>
      <c r="E366" s="6"/>
      <c r="F366" s="6"/>
      <c r="G366" s="6"/>
      <c r="H366" s="6"/>
      <c r="I366" s="6">
        <f t="shared" ref="I366:I389" si="41">SUM(E366:H366)</f>
        <v>0</v>
      </c>
      <c r="J366" s="6">
        <f t="shared" ref="J366:J389" si="42">D366-E366-F366-G366-H366</f>
        <v>5196</v>
      </c>
      <c r="K366" s="6"/>
    </row>
    <row r="367" spans="1:11" ht="16.2" thickBot="1" x14ac:dyDescent="0.35">
      <c r="A367" s="9">
        <v>2</v>
      </c>
      <c r="B367" s="4" t="s">
        <v>454</v>
      </c>
      <c r="C367" s="9">
        <v>2911</v>
      </c>
      <c r="D367" s="6">
        <v>5196</v>
      </c>
      <c r="E367" s="6">
        <v>2500</v>
      </c>
      <c r="F367" s="6"/>
      <c r="G367" s="6"/>
      <c r="H367" s="6"/>
      <c r="I367" s="6">
        <f t="shared" si="41"/>
        <v>2500</v>
      </c>
      <c r="J367" s="6">
        <f t="shared" si="42"/>
        <v>2696</v>
      </c>
      <c r="K367" s="6"/>
    </row>
    <row r="368" spans="1:11" ht="16.2" thickBot="1" x14ac:dyDescent="0.35">
      <c r="A368" s="9">
        <v>3</v>
      </c>
      <c r="B368" s="4" t="s">
        <v>464</v>
      </c>
      <c r="C368" s="9">
        <v>2912</v>
      </c>
      <c r="D368" s="6">
        <v>5196</v>
      </c>
      <c r="E368" s="6"/>
      <c r="F368" s="6"/>
      <c r="G368" s="6"/>
      <c r="H368" s="6"/>
      <c r="I368" s="6">
        <f t="shared" si="41"/>
        <v>0</v>
      </c>
      <c r="J368" s="6">
        <f t="shared" si="42"/>
        <v>5196</v>
      </c>
      <c r="K368" s="6"/>
    </row>
    <row r="369" spans="1:11" ht="16.2" thickBot="1" x14ac:dyDescent="0.35">
      <c r="A369" s="9">
        <v>4</v>
      </c>
      <c r="B369" s="4" t="s">
        <v>415</v>
      </c>
      <c r="C369" s="9">
        <v>2914</v>
      </c>
      <c r="D369" s="6">
        <v>5196</v>
      </c>
      <c r="E369" s="6">
        <v>2000</v>
      </c>
      <c r="F369" s="6"/>
      <c r="G369" s="6"/>
      <c r="H369" s="6"/>
      <c r="I369" s="6">
        <f t="shared" si="41"/>
        <v>2000</v>
      </c>
      <c r="J369" s="6">
        <f t="shared" si="42"/>
        <v>3196</v>
      </c>
      <c r="K369" s="6"/>
    </row>
    <row r="370" spans="1:11" ht="16.2" thickBot="1" x14ac:dyDescent="0.35">
      <c r="A370" s="9">
        <v>5</v>
      </c>
      <c r="B370" s="4" t="s">
        <v>466</v>
      </c>
      <c r="C370" s="11"/>
      <c r="D370" s="6">
        <v>5196</v>
      </c>
      <c r="E370" s="6"/>
      <c r="F370" s="6"/>
      <c r="G370" s="6"/>
      <c r="H370" s="6"/>
      <c r="I370" s="6">
        <f t="shared" si="41"/>
        <v>0</v>
      </c>
      <c r="J370" s="6">
        <f t="shared" si="42"/>
        <v>5196</v>
      </c>
      <c r="K370" s="6"/>
    </row>
    <row r="371" spans="1:11" ht="16.2" thickBot="1" x14ac:dyDescent="0.35">
      <c r="A371" s="9">
        <v>6</v>
      </c>
      <c r="B371" s="4" t="s">
        <v>945</v>
      </c>
      <c r="C371" s="7"/>
      <c r="D371" s="6">
        <v>5196</v>
      </c>
      <c r="E371" s="6">
        <v>2000</v>
      </c>
      <c r="F371" s="6">
        <v>2000</v>
      </c>
      <c r="G371" s="6"/>
      <c r="H371" s="6"/>
      <c r="I371" s="6">
        <f t="shared" si="41"/>
        <v>4000</v>
      </c>
      <c r="J371" s="6">
        <f t="shared" si="42"/>
        <v>1196</v>
      </c>
      <c r="K371" s="13" t="s">
        <v>1395</v>
      </c>
    </row>
    <row r="372" spans="1:11" ht="16.2" thickBot="1" x14ac:dyDescent="0.35">
      <c r="A372" s="9">
        <v>7</v>
      </c>
      <c r="B372" s="4" t="s">
        <v>465</v>
      </c>
      <c r="C372" s="9">
        <v>2916</v>
      </c>
      <c r="D372" s="6">
        <v>5196</v>
      </c>
      <c r="E372" s="6">
        <v>3000</v>
      </c>
      <c r="F372" s="6">
        <v>2000</v>
      </c>
      <c r="G372" s="6">
        <v>196</v>
      </c>
      <c r="H372" s="6"/>
      <c r="I372" s="6">
        <f t="shared" si="41"/>
        <v>5196</v>
      </c>
      <c r="J372" s="6">
        <f t="shared" si="42"/>
        <v>0</v>
      </c>
      <c r="K372" s="6" t="s">
        <v>1395</v>
      </c>
    </row>
    <row r="373" spans="1:11" ht="16.2" thickBot="1" x14ac:dyDescent="0.35">
      <c r="A373" s="9">
        <v>8</v>
      </c>
      <c r="B373" s="4" t="s">
        <v>458</v>
      </c>
      <c r="C373" s="9">
        <v>2917</v>
      </c>
      <c r="D373" s="6">
        <v>5196</v>
      </c>
      <c r="E373" s="6"/>
      <c r="F373" s="6"/>
      <c r="G373" s="6"/>
      <c r="H373" s="6"/>
      <c r="I373" s="6">
        <f t="shared" si="41"/>
        <v>0</v>
      </c>
      <c r="J373" s="6">
        <f t="shared" si="42"/>
        <v>5196</v>
      </c>
      <c r="K373" s="6"/>
    </row>
    <row r="374" spans="1:11" ht="16.2" thickBot="1" x14ac:dyDescent="0.35">
      <c r="A374" s="9">
        <v>9</v>
      </c>
      <c r="B374" s="4" t="s">
        <v>457</v>
      </c>
      <c r="C374" s="9">
        <v>2919</v>
      </c>
      <c r="D374" s="6">
        <v>5196</v>
      </c>
      <c r="E374" s="6">
        <v>4500</v>
      </c>
      <c r="F374" s="6"/>
      <c r="G374" s="6"/>
      <c r="H374" s="6"/>
      <c r="I374" s="6">
        <f t="shared" si="41"/>
        <v>4500</v>
      </c>
      <c r="J374" s="6">
        <f t="shared" si="42"/>
        <v>696</v>
      </c>
      <c r="K374" s="13" t="s">
        <v>1395</v>
      </c>
    </row>
    <row r="375" spans="1:11" ht="16.2" thickBot="1" x14ac:dyDescent="0.35">
      <c r="A375" s="9">
        <v>10</v>
      </c>
      <c r="B375" s="4" t="s">
        <v>453</v>
      </c>
      <c r="C375" s="9"/>
      <c r="D375" s="6">
        <v>5196</v>
      </c>
      <c r="E375" s="6"/>
      <c r="F375" s="6"/>
      <c r="G375" s="6"/>
      <c r="H375" s="6"/>
      <c r="I375" s="6">
        <f t="shared" si="41"/>
        <v>0</v>
      </c>
      <c r="J375" s="6">
        <f t="shared" si="42"/>
        <v>5196</v>
      </c>
      <c r="K375" s="6"/>
    </row>
    <row r="376" spans="1:11" ht="16.2" thickBot="1" x14ac:dyDescent="0.35">
      <c r="A376" s="9">
        <v>11</v>
      </c>
      <c r="B376" s="4" t="s">
        <v>451</v>
      </c>
      <c r="C376" s="9"/>
      <c r="D376" s="6">
        <v>5196</v>
      </c>
      <c r="E376" s="6"/>
      <c r="F376" s="6"/>
      <c r="G376" s="6"/>
      <c r="H376" s="6"/>
      <c r="I376" s="6">
        <f t="shared" si="41"/>
        <v>0</v>
      </c>
      <c r="J376" s="6">
        <f t="shared" si="42"/>
        <v>5196</v>
      </c>
      <c r="K376" s="6"/>
    </row>
    <row r="377" spans="1:11" ht="16.2" thickBot="1" x14ac:dyDescent="0.35">
      <c r="A377" s="9">
        <v>12</v>
      </c>
      <c r="B377" s="4" t="s">
        <v>928</v>
      </c>
      <c r="C377" s="7"/>
      <c r="D377" s="6">
        <v>5196</v>
      </c>
      <c r="E377" s="6"/>
      <c r="F377" s="6"/>
      <c r="G377" s="6"/>
      <c r="H377" s="6"/>
      <c r="I377" s="6">
        <f t="shared" si="41"/>
        <v>0</v>
      </c>
      <c r="J377" s="6">
        <f t="shared" si="42"/>
        <v>5196</v>
      </c>
      <c r="K377" s="7"/>
    </row>
    <row r="378" spans="1:11" ht="16.2" thickBot="1" x14ac:dyDescent="0.35">
      <c r="A378" s="9">
        <v>13</v>
      </c>
      <c r="B378" s="4" t="s">
        <v>455</v>
      </c>
      <c r="C378" s="9">
        <v>2922</v>
      </c>
      <c r="D378" s="6">
        <v>5196</v>
      </c>
      <c r="E378" s="6">
        <v>2000</v>
      </c>
      <c r="F378" s="6"/>
      <c r="G378" s="6"/>
      <c r="H378" s="6"/>
      <c r="I378" s="6">
        <f t="shared" si="41"/>
        <v>2000</v>
      </c>
      <c r="J378" s="6">
        <f t="shared" si="42"/>
        <v>3196</v>
      </c>
      <c r="K378" s="6"/>
    </row>
    <row r="379" spans="1:11" ht="16.2" thickBot="1" x14ac:dyDescent="0.35">
      <c r="A379" s="9">
        <v>14</v>
      </c>
      <c r="B379" s="4" t="s">
        <v>442</v>
      </c>
      <c r="C379" s="9"/>
      <c r="D379" s="6">
        <v>5196</v>
      </c>
      <c r="E379" s="6"/>
      <c r="F379" s="6"/>
      <c r="G379" s="6"/>
      <c r="H379" s="6"/>
      <c r="I379" s="6">
        <f t="shared" si="41"/>
        <v>0</v>
      </c>
      <c r="J379" s="6">
        <f t="shared" si="42"/>
        <v>5196</v>
      </c>
      <c r="K379" s="6"/>
    </row>
    <row r="380" spans="1:11" ht="16.2" thickBot="1" x14ac:dyDescent="0.35">
      <c r="A380" s="9">
        <v>15</v>
      </c>
      <c r="B380" s="4" t="s">
        <v>446</v>
      </c>
      <c r="C380" s="17">
        <v>2926</v>
      </c>
      <c r="D380" s="6">
        <v>5196</v>
      </c>
      <c r="E380" s="6"/>
      <c r="F380" s="6"/>
      <c r="G380" s="6"/>
      <c r="H380" s="6"/>
      <c r="I380" s="6">
        <f t="shared" si="41"/>
        <v>0</v>
      </c>
      <c r="J380" s="6">
        <f t="shared" si="42"/>
        <v>5196</v>
      </c>
      <c r="K380" s="7"/>
    </row>
    <row r="381" spans="1:11" ht="16.2" thickBot="1" x14ac:dyDescent="0.35">
      <c r="A381" s="9">
        <v>16</v>
      </c>
      <c r="B381" s="4" t="s">
        <v>904</v>
      </c>
      <c r="C381" s="7"/>
      <c r="D381" s="6">
        <v>5196</v>
      </c>
      <c r="E381" s="6"/>
      <c r="F381" s="6"/>
      <c r="G381" s="6"/>
      <c r="H381" s="6"/>
      <c r="I381" s="6">
        <f t="shared" si="41"/>
        <v>0</v>
      </c>
      <c r="J381" s="6">
        <f t="shared" si="42"/>
        <v>5196</v>
      </c>
      <c r="K381" s="7"/>
    </row>
    <row r="382" spans="1:11" ht="16.2" thickBot="1" x14ac:dyDescent="0.35">
      <c r="A382" s="9">
        <v>17</v>
      </c>
      <c r="B382" s="4" t="s">
        <v>461</v>
      </c>
      <c r="C382" s="9">
        <v>2927</v>
      </c>
      <c r="D382" s="6">
        <v>5196</v>
      </c>
      <c r="E382" s="6">
        <v>1200</v>
      </c>
      <c r="F382" s="6"/>
      <c r="G382" s="6"/>
      <c r="H382" s="6"/>
      <c r="I382" s="6">
        <f t="shared" si="41"/>
        <v>1200</v>
      </c>
      <c r="J382" s="6">
        <f t="shared" si="42"/>
        <v>3996</v>
      </c>
      <c r="K382" s="6"/>
    </row>
    <row r="383" spans="1:11" ht="16.2" thickBot="1" x14ac:dyDescent="0.35">
      <c r="A383" s="9">
        <v>18</v>
      </c>
      <c r="B383" s="4" t="s">
        <v>460</v>
      </c>
      <c r="C383" s="9">
        <v>2944</v>
      </c>
      <c r="D383" s="6">
        <v>5196</v>
      </c>
      <c r="E383" s="6"/>
      <c r="F383" s="6"/>
      <c r="G383" s="6"/>
      <c r="H383" s="6"/>
      <c r="I383" s="6">
        <f t="shared" si="41"/>
        <v>0</v>
      </c>
      <c r="J383" s="6">
        <f t="shared" si="42"/>
        <v>5196</v>
      </c>
      <c r="K383" s="6"/>
    </row>
    <row r="384" spans="1:11" ht="16.2" thickBot="1" x14ac:dyDescent="0.35">
      <c r="A384" s="9">
        <v>19</v>
      </c>
      <c r="B384" s="13" t="s">
        <v>452</v>
      </c>
      <c r="C384" s="9">
        <v>2928</v>
      </c>
      <c r="D384" s="6">
        <v>5196</v>
      </c>
      <c r="E384" s="6">
        <v>2000</v>
      </c>
      <c r="F384" s="6">
        <v>2000</v>
      </c>
      <c r="G384" s="6">
        <v>1196</v>
      </c>
      <c r="H384" s="6"/>
      <c r="I384" s="6">
        <f t="shared" si="41"/>
        <v>5196</v>
      </c>
      <c r="J384" s="6">
        <f t="shared" si="42"/>
        <v>0</v>
      </c>
      <c r="K384" s="13" t="s">
        <v>1395</v>
      </c>
    </row>
    <row r="385" spans="1:12" ht="16.2" thickBot="1" x14ac:dyDescent="0.35">
      <c r="A385" s="9">
        <v>20</v>
      </c>
      <c r="B385" s="4" t="s">
        <v>459</v>
      </c>
      <c r="C385" s="9">
        <v>2929</v>
      </c>
      <c r="D385" s="6">
        <v>5196</v>
      </c>
      <c r="E385" s="6">
        <v>2000</v>
      </c>
      <c r="F385" s="6">
        <v>1060</v>
      </c>
      <c r="G385" s="6"/>
      <c r="H385" s="6"/>
      <c r="I385" s="6">
        <f t="shared" si="41"/>
        <v>3060</v>
      </c>
      <c r="J385" s="6">
        <f t="shared" si="42"/>
        <v>2136</v>
      </c>
      <c r="K385" s="13" t="s">
        <v>1395</v>
      </c>
    </row>
    <row r="386" spans="1:12" ht="16.2" thickBot="1" x14ac:dyDescent="0.35">
      <c r="A386" s="9">
        <v>21</v>
      </c>
      <c r="B386" s="3" t="s">
        <v>462</v>
      </c>
      <c r="C386" s="11">
        <v>2930</v>
      </c>
      <c r="D386" s="6">
        <v>5196</v>
      </c>
      <c r="E386" s="6"/>
      <c r="F386" s="6"/>
      <c r="G386" s="6"/>
      <c r="H386" s="6"/>
      <c r="I386" s="6">
        <f t="shared" si="41"/>
        <v>0</v>
      </c>
      <c r="J386" s="6">
        <f t="shared" si="42"/>
        <v>5196</v>
      </c>
      <c r="K386" s="6"/>
    </row>
    <row r="387" spans="1:12" ht="16.2" thickBot="1" x14ac:dyDescent="0.35">
      <c r="A387" s="9">
        <v>22</v>
      </c>
      <c r="B387" s="4" t="s">
        <v>450</v>
      </c>
      <c r="C387" s="9">
        <v>2931</v>
      </c>
      <c r="D387" s="6">
        <v>5196</v>
      </c>
      <c r="E387" s="6">
        <v>2000</v>
      </c>
      <c r="F387" s="6"/>
      <c r="G387" s="6"/>
      <c r="H387" s="6"/>
      <c r="I387" s="6">
        <f t="shared" si="41"/>
        <v>2000</v>
      </c>
      <c r="J387" s="6">
        <f t="shared" si="42"/>
        <v>3196</v>
      </c>
      <c r="K387" s="13" t="s">
        <v>1395</v>
      </c>
    </row>
    <row r="388" spans="1:12" ht="16.2" thickBot="1" x14ac:dyDescent="0.35">
      <c r="A388" s="9">
        <v>23</v>
      </c>
      <c r="B388" s="4" t="s">
        <v>433</v>
      </c>
      <c r="C388" s="11">
        <v>2933</v>
      </c>
      <c r="D388" s="6">
        <v>5196</v>
      </c>
      <c r="E388" s="6"/>
      <c r="F388" s="6"/>
      <c r="G388" s="6"/>
      <c r="H388" s="6"/>
      <c r="I388" s="6">
        <f t="shared" si="41"/>
        <v>0</v>
      </c>
      <c r="J388" s="6">
        <f t="shared" si="42"/>
        <v>5196</v>
      </c>
      <c r="K388" s="6"/>
      <c r="L388" t="s">
        <v>1725</v>
      </c>
    </row>
    <row r="389" spans="1:12" ht="16.2" thickBot="1" x14ac:dyDescent="0.35">
      <c r="A389" s="9">
        <v>24</v>
      </c>
      <c r="B389" s="94" t="s">
        <v>456</v>
      </c>
      <c r="C389" s="136">
        <v>2934</v>
      </c>
      <c r="D389" s="6">
        <v>5196</v>
      </c>
      <c r="E389" s="83"/>
      <c r="F389" s="83"/>
      <c r="G389" s="83"/>
      <c r="H389" s="83"/>
      <c r="I389" s="83">
        <f t="shared" si="41"/>
        <v>0</v>
      </c>
      <c r="J389" s="83">
        <f t="shared" si="42"/>
        <v>5196</v>
      </c>
      <c r="K389" s="83"/>
    </row>
    <row r="390" spans="1:12" ht="15.6" x14ac:dyDescent="0.3">
      <c r="A390" s="92"/>
      <c r="B390" s="92"/>
      <c r="C390" s="92"/>
      <c r="D390" s="494">
        <f>SUM(D366:D389)</f>
        <v>124704</v>
      </c>
      <c r="E390" s="494">
        <f t="shared" ref="E390:J390" si="43">SUM(E366:E389)</f>
        <v>23200</v>
      </c>
      <c r="F390" s="494">
        <f t="shared" si="43"/>
        <v>7060</v>
      </c>
      <c r="G390" s="494">
        <f t="shared" si="43"/>
        <v>1392</v>
      </c>
      <c r="H390" s="494">
        <f t="shared" si="43"/>
        <v>0</v>
      </c>
      <c r="I390" s="494">
        <f t="shared" si="43"/>
        <v>31652</v>
      </c>
      <c r="J390" s="494">
        <f t="shared" si="43"/>
        <v>93052</v>
      </c>
      <c r="K390" s="92"/>
    </row>
    <row r="391" spans="1:12" ht="15.6" x14ac:dyDescent="0.3">
      <c r="A391" s="43"/>
      <c r="B391" s="43"/>
      <c r="C391" s="43"/>
      <c r="D391" s="42"/>
      <c r="E391" s="42"/>
      <c r="F391" s="42"/>
      <c r="G391" s="42"/>
      <c r="H391" s="42"/>
      <c r="I391" s="42"/>
      <c r="J391" s="42"/>
      <c r="K391" s="43"/>
    </row>
    <row r="392" spans="1:12" ht="15.6" x14ac:dyDescent="0.3">
      <c r="A392" s="87"/>
      <c r="B392" s="87"/>
      <c r="C392" s="87"/>
      <c r="D392" s="88"/>
      <c r="E392" s="88"/>
      <c r="F392" s="88"/>
      <c r="G392" s="88"/>
      <c r="H392" s="88"/>
      <c r="I392" s="88"/>
      <c r="J392" s="88"/>
      <c r="K392" s="87"/>
    </row>
    <row r="393" spans="1:12" ht="16.2" thickBot="1" x14ac:dyDescent="0.35">
      <c r="A393" s="137" t="s">
        <v>1309</v>
      </c>
      <c r="B393" s="79"/>
      <c r="C393" s="80"/>
      <c r="D393" s="80"/>
      <c r="E393" s="80"/>
      <c r="F393" s="80"/>
      <c r="G393" s="80"/>
      <c r="H393" s="80"/>
      <c r="I393" s="80"/>
      <c r="J393" s="80"/>
      <c r="K393" s="86"/>
    </row>
    <row r="394" spans="1:12" ht="27.6" thickBot="1" x14ac:dyDescent="0.35">
      <c r="A394" s="16" t="s">
        <v>0</v>
      </c>
      <c r="B394" s="8" t="s">
        <v>1</v>
      </c>
      <c r="C394" s="16" t="s">
        <v>2</v>
      </c>
      <c r="D394" s="69" t="s">
        <v>854</v>
      </c>
      <c r="E394" s="580" t="s">
        <v>855</v>
      </c>
      <c r="F394" s="581"/>
      <c r="G394" s="581"/>
      <c r="H394" s="582"/>
      <c r="I394" s="111"/>
      <c r="J394" s="70" t="s">
        <v>856</v>
      </c>
      <c r="K394" s="8" t="s">
        <v>3</v>
      </c>
    </row>
    <row r="395" spans="1:12" s="49" customFormat="1" ht="16.2" thickBot="1" x14ac:dyDescent="0.35">
      <c r="A395" s="28">
        <v>1</v>
      </c>
      <c r="B395" s="47" t="s">
        <v>92</v>
      </c>
      <c r="C395" s="28">
        <v>2115</v>
      </c>
      <c r="D395" s="6">
        <v>4956</v>
      </c>
      <c r="E395" s="6">
        <v>2771</v>
      </c>
      <c r="F395" s="6"/>
      <c r="G395" s="6"/>
      <c r="H395" s="6"/>
      <c r="I395" s="6">
        <f t="shared" ref="I395:I413" si="44">SUM(E395:H395)</f>
        <v>2771</v>
      </c>
      <c r="J395" s="6">
        <f t="shared" ref="J395:J413" si="45">D395-E395-F395-G395-H395</f>
        <v>2185</v>
      </c>
      <c r="K395" s="6"/>
    </row>
    <row r="396" spans="1:12" s="49" customFormat="1" ht="16.2" thickBot="1" x14ac:dyDescent="0.35">
      <c r="A396" s="28">
        <v>2</v>
      </c>
      <c r="B396" s="47" t="s">
        <v>177</v>
      </c>
      <c r="C396" s="28">
        <v>2143</v>
      </c>
      <c r="D396" s="6">
        <v>4956</v>
      </c>
      <c r="E396" s="6">
        <v>3000</v>
      </c>
      <c r="F396" s="6"/>
      <c r="G396" s="6"/>
      <c r="H396" s="6"/>
      <c r="I396" s="6">
        <f t="shared" si="44"/>
        <v>3000</v>
      </c>
      <c r="J396" s="6">
        <f t="shared" si="45"/>
        <v>1956</v>
      </c>
      <c r="K396" s="13" t="s">
        <v>1395</v>
      </c>
    </row>
    <row r="397" spans="1:12" s="49" customFormat="1" ht="16.2" thickBot="1" x14ac:dyDescent="0.35">
      <c r="A397" s="28">
        <v>3</v>
      </c>
      <c r="B397" s="47" t="s">
        <v>94</v>
      </c>
      <c r="C397" s="28">
        <v>2117</v>
      </c>
      <c r="D397" s="6">
        <v>4956</v>
      </c>
      <c r="E397" s="6"/>
      <c r="F397" s="6"/>
      <c r="G397" s="6"/>
      <c r="H397" s="6"/>
      <c r="I397" s="6">
        <f t="shared" si="44"/>
        <v>0</v>
      </c>
      <c r="J397" s="6">
        <f t="shared" si="45"/>
        <v>4956</v>
      </c>
      <c r="K397" s="6"/>
    </row>
    <row r="398" spans="1:12" s="49" customFormat="1" ht="16.2" thickBot="1" x14ac:dyDescent="0.35">
      <c r="A398" s="28">
        <v>4</v>
      </c>
      <c r="B398" s="47" t="s">
        <v>175</v>
      </c>
      <c r="C398" s="28">
        <v>2118</v>
      </c>
      <c r="D398" s="6">
        <v>4956</v>
      </c>
      <c r="E398" s="6">
        <v>1200</v>
      </c>
      <c r="F398" s="281">
        <v>800</v>
      </c>
      <c r="G398" s="6"/>
      <c r="H398" s="6"/>
      <c r="I398" s="6">
        <f t="shared" si="44"/>
        <v>2000</v>
      </c>
      <c r="J398" s="6">
        <f t="shared" si="45"/>
        <v>2956</v>
      </c>
      <c r="K398" s="13" t="s">
        <v>1395</v>
      </c>
    </row>
    <row r="399" spans="1:12" s="49" customFormat="1" ht="16.2" thickBot="1" x14ac:dyDescent="0.35">
      <c r="A399" s="28">
        <v>5</v>
      </c>
      <c r="B399" s="4" t="s">
        <v>932</v>
      </c>
      <c r="C399" s="7"/>
      <c r="D399" s="6">
        <v>4956</v>
      </c>
      <c r="E399" s="6">
        <v>2000</v>
      </c>
      <c r="F399" s="6"/>
      <c r="G399" s="6"/>
      <c r="H399" s="6"/>
      <c r="I399" s="6">
        <f t="shared" si="44"/>
        <v>2000</v>
      </c>
      <c r="J399" s="6">
        <f t="shared" si="45"/>
        <v>2956</v>
      </c>
      <c r="K399" s="7"/>
    </row>
    <row r="400" spans="1:12" s="49" customFormat="1" ht="16.2" thickBot="1" x14ac:dyDescent="0.35">
      <c r="A400" s="28">
        <v>6</v>
      </c>
      <c r="B400" s="4" t="s">
        <v>933</v>
      </c>
      <c r="C400" s="7">
        <v>2124</v>
      </c>
      <c r="D400" s="6">
        <v>4956</v>
      </c>
      <c r="E400" s="6">
        <v>815</v>
      </c>
      <c r="F400" s="6"/>
      <c r="G400" s="6"/>
      <c r="H400" s="6"/>
      <c r="I400" s="6">
        <f t="shared" si="44"/>
        <v>815</v>
      </c>
      <c r="J400" s="6">
        <f t="shared" si="45"/>
        <v>4141</v>
      </c>
      <c r="K400" s="351" t="s">
        <v>1395</v>
      </c>
    </row>
    <row r="401" spans="1:12" s="49" customFormat="1" ht="16.2" thickBot="1" x14ac:dyDescent="0.35">
      <c r="A401" s="28">
        <v>7</v>
      </c>
      <c r="B401" s="47" t="s">
        <v>323</v>
      </c>
      <c r="C401" s="28">
        <v>2125</v>
      </c>
      <c r="D401" s="6">
        <v>4956</v>
      </c>
      <c r="E401" s="6">
        <v>1100</v>
      </c>
      <c r="F401" s="6"/>
      <c r="G401" s="6"/>
      <c r="H401" s="6"/>
      <c r="I401" s="6">
        <f t="shared" si="44"/>
        <v>1100</v>
      </c>
      <c r="J401" s="6">
        <f t="shared" si="45"/>
        <v>3856</v>
      </c>
      <c r="K401" s="351" t="s">
        <v>1395</v>
      </c>
    </row>
    <row r="402" spans="1:12" s="49" customFormat="1" ht="16.2" thickBot="1" x14ac:dyDescent="0.35">
      <c r="A402" s="28">
        <v>8</v>
      </c>
      <c r="B402" s="47" t="s">
        <v>329</v>
      </c>
      <c r="C402" s="28">
        <v>2129</v>
      </c>
      <c r="D402" s="6">
        <v>4956</v>
      </c>
      <c r="E402" s="6"/>
      <c r="F402" s="6"/>
      <c r="G402" s="6"/>
      <c r="H402" s="6"/>
      <c r="I402" s="6">
        <f t="shared" si="44"/>
        <v>0</v>
      </c>
      <c r="J402" s="6">
        <f t="shared" si="45"/>
        <v>4956</v>
      </c>
      <c r="K402" s="6"/>
    </row>
    <row r="403" spans="1:12" s="49" customFormat="1" ht="16.2" thickBot="1" x14ac:dyDescent="0.35">
      <c r="A403" s="28">
        <v>9</v>
      </c>
      <c r="B403" s="47" t="s">
        <v>95</v>
      </c>
      <c r="C403" s="28">
        <v>2130</v>
      </c>
      <c r="D403" s="6">
        <v>4956</v>
      </c>
      <c r="E403" s="6"/>
      <c r="F403" s="6"/>
      <c r="G403" s="6"/>
      <c r="H403" s="6"/>
      <c r="I403" s="6">
        <f t="shared" si="44"/>
        <v>0</v>
      </c>
      <c r="J403" s="6">
        <f t="shared" si="45"/>
        <v>4956</v>
      </c>
      <c r="K403" s="6"/>
    </row>
    <row r="404" spans="1:12" s="49" customFormat="1" ht="16.2" thickBot="1" x14ac:dyDescent="0.35">
      <c r="A404" s="28">
        <v>10</v>
      </c>
      <c r="B404" s="47" t="s">
        <v>176</v>
      </c>
      <c r="C404" s="28">
        <v>2132</v>
      </c>
      <c r="D404" s="6">
        <v>4956</v>
      </c>
      <c r="E404" s="6"/>
      <c r="F404" s="6"/>
      <c r="G404" s="6"/>
      <c r="H404" s="6"/>
      <c r="I404" s="6">
        <f t="shared" si="44"/>
        <v>0</v>
      </c>
      <c r="J404" s="6">
        <f t="shared" si="45"/>
        <v>4956</v>
      </c>
      <c r="K404" s="6"/>
    </row>
    <row r="405" spans="1:12" s="49" customFormat="1" ht="16.2" thickBot="1" x14ac:dyDescent="0.35">
      <c r="A405" s="28">
        <v>11</v>
      </c>
      <c r="B405" s="47" t="s">
        <v>91</v>
      </c>
      <c r="C405" s="28">
        <v>2133</v>
      </c>
      <c r="D405" s="6">
        <v>4956</v>
      </c>
      <c r="E405" s="6">
        <v>120</v>
      </c>
      <c r="F405" s="6"/>
      <c r="G405" s="6"/>
      <c r="H405" s="6"/>
      <c r="I405" s="6">
        <f t="shared" si="44"/>
        <v>120</v>
      </c>
      <c r="J405" s="6">
        <f t="shared" si="45"/>
        <v>4836</v>
      </c>
      <c r="K405" s="6"/>
    </row>
    <row r="406" spans="1:12" s="49" customFormat="1" ht="16.2" thickBot="1" x14ac:dyDescent="0.35">
      <c r="A406" s="28">
        <v>12</v>
      </c>
      <c r="B406" s="47" t="s">
        <v>178</v>
      </c>
      <c r="C406" s="54">
        <v>2146</v>
      </c>
      <c r="D406" s="6">
        <v>4956</v>
      </c>
      <c r="E406" s="6"/>
      <c r="F406" s="6"/>
      <c r="G406" s="6"/>
      <c r="H406" s="6"/>
      <c r="I406" s="6">
        <f t="shared" si="44"/>
        <v>0</v>
      </c>
      <c r="J406" s="6">
        <f t="shared" si="45"/>
        <v>4956</v>
      </c>
      <c r="K406" s="6"/>
    </row>
    <row r="407" spans="1:12" s="49" customFormat="1" ht="16.2" thickBot="1" x14ac:dyDescent="0.35">
      <c r="A407" s="28">
        <v>13</v>
      </c>
      <c r="B407" s="4" t="s">
        <v>978</v>
      </c>
      <c r="C407" s="7">
        <v>2134</v>
      </c>
      <c r="D407" s="6">
        <v>4956</v>
      </c>
      <c r="E407" s="6">
        <v>700</v>
      </c>
      <c r="F407" s="6"/>
      <c r="G407" s="6"/>
      <c r="H407" s="6"/>
      <c r="I407" s="6">
        <f t="shared" si="44"/>
        <v>700</v>
      </c>
      <c r="J407" s="6">
        <f t="shared" si="45"/>
        <v>4256</v>
      </c>
      <c r="K407" s="7"/>
    </row>
    <row r="408" spans="1:12" s="49" customFormat="1" ht="16.2" thickBot="1" x14ac:dyDescent="0.35">
      <c r="A408" s="28">
        <v>14</v>
      </c>
      <c r="B408" s="47" t="s">
        <v>96</v>
      </c>
      <c r="C408" s="28">
        <v>2135</v>
      </c>
      <c r="D408" s="6">
        <v>4956</v>
      </c>
      <c r="E408" s="6">
        <v>1900</v>
      </c>
      <c r="F408" s="6">
        <v>400</v>
      </c>
      <c r="G408" s="6">
        <v>200</v>
      </c>
      <c r="H408" s="6"/>
      <c r="I408" s="6">
        <f t="shared" si="44"/>
        <v>2500</v>
      </c>
      <c r="J408" s="6">
        <f t="shared" si="45"/>
        <v>2456</v>
      </c>
      <c r="K408" s="6" t="s">
        <v>1395</v>
      </c>
      <c r="L408" s="49" t="s">
        <v>1725</v>
      </c>
    </row>
    <row r="409" spans="1:12" s="49" customFormat="1" ht="16.2" thickBot="1" x14ac:dyDescent="0.35">
      <c r="A409" s="28">
        <v>15</v>
      </c>
      <c r="B409" s="47" t="s">
        <v>308</v>
      </c>
      <c r="C409" s="54">
        <v>2147</v>
      </c>
      <c r="D409" s="6">
        <v>4956</v>
      </c>
      <c r="E409" s="6"/>
      <c r="F409" s="6"/>
      <c r="G409" s="6"/>
      <c r="H409" s="6"/>
      <c r="I409" s="6">
        <f t="shared" si="44"/>
        <v>0</v>
      </c>
      <c r="J409" s="6">
        <f t="shared" si="45"/>
        <v>4956</v>
      </c>
      <c r="K409" s="6"/>
    </row>
    <row r="410" spans="1:12" ht="16.2" thickBot="1" x14ac:dyDescent="0.35">
      <c r="A410" s="28">
        <v>16</v>
      </c>
      <c r="B410" s="47" t="s">
        <v>141</v>
      </c>
      <c r="C410" s="28">
        <v>2149</v>
      </c>
      <c r="D410" s="6">
        <v>4956</v>
      </c>
      <c r="E410" s="6">
        <v>2500</v>
      </c>
      <c r="F410" s="6"/>
      <c r="G410" s="6"/>
      <c r="H410" s="6"/>
      <c r="I410" s="6">
        <f t="shared" si="44"/>
        <v>2500</v>
      </c>
      <c r="J410" s="6">
        <f t="shared" si="45"/>
        <v>2456</v>
      </c>
      <c r="K410" s="6"/>
    </row>
    <row r="411" spans="1:12" ht="16.2" thickBot="1" x14ac:dyDescent="0.35">
      <c r="A411" s="28">
        <v>17</v>
      </c>
      <c r="B411" s="53" t="s">
        <v>90</v>
      </c>
      <c r="C411" s="28">
        <v>2137</v>
      </c>
      <c r="D411" s="6">
        <v>4956</v>
      </c>
      <c r="E411" s="6">
        <v>4120</v>
      </c>
      <c r="F411" s="6"/>
      <c r="G411" s="6"/>
      <c r="H411" s="6"/>
      <c r="I411" s="6">
        <f t="shared" si="44"/>
        <v>4120</v>
      </c>
      <c r="J411" s="6">
        <f t="shared" si="45"/>
        <v>836</v>
      </c>
      <c r="K411" s="6" t="s">
        <v>1395</v>
      </c>
    </row>
    <row r="412" spans="1:12" ht="16.2" thickBot="1" x14ac:dyDescent="0.35">
      <c r="A412" s="28">
        <v>18</v>
      </c>
      <c r="B412" s="4" t="s">
        <v>867</v>
      </c>
      <c r="C412" s="12">
        <v>2139</v>
      </c>
      <c r="D412" s="6">
        <v>4956</v>
      </c>
      <c r="E412" s="6">
        <v>801</v>
      </c>
      <c r="F412" s="6"/>
      <c r="G412" s="6"/>
      <c r="H412" s="6"/>
      <c r="I412" s="6">
        <f t="shared" si="44"/>
        <v>801</v>
      </c>
      <c r="J412" s="6">
        <f t="shared" si="45"/>
        <v>4155</v>
      </c>
      <c r="K412" s="7"/>
      <c r="L412" t="s">
        <v>1725</v>
      </c>
    </row>
    <row r="413" spans="1:12" ht="16.2" thickBot="1" x14ac:dyDescent="0.35">
      <c r="A413" s="164">
        <v>19</v>
      </c>
      <c r="B413" s="264" t="s">
        <v>93</v>
      </c>
      <c r="C413" s="164">
        <v>2140</v>
      </c>
      <c r="D413" s="6">
        <v>4956</v>
      </c>
      <c r="E413" s="83">
        <v>3500</v>
      </c>
      <c r="F413" s="83"/>
      <c r="G413" s="83"/>
      <c r="H413" s="83"/>
      <c r="I413" s="83">
        <f t="shared" si="44"/>
        <v>3500</v>
      </c>
      <c r="J413" s="83">
        <f t="shared" si="45"/>
        <v>1456</v>
      </c>
      <c r="K413" s="83" t="s">
        <v>1395</v>
      </c>
    </row>
    <row r="414" spans="1:12" ht="15.6" x14ac:dyDescent="0.3">
      <c r="A414" s="92"/>
      <c r="B414" s="92"/>
      <c r="C414" s="92"/>
      <c r="D414" s="494">
        <f>SUM(D395:D413)</f>
        <v>94164</v>
      </c>
      <c r="E414" s="494">
        <f t="shared" ref="E414:J414" si="46">SUM(E395:E413)</f>
        <v>24527</v>
      </c>
      <c r="F414" s="494">
        <f t="shared" si="46"/>
        <v>1200</v>
      </c>
      <c r="G414" s="494">
        <f t="shared" si="46"/>
        <v>200</v>
      </c>
      <c r="H414" s="494">
        <f t="shared" si="46"/>
        <v>0</v>
      </c>
      <c r="I414" s="494">
        <f t="shared" si="46"/>
        <v>25927</v>
      </c>
      <c r="J414" s="494">
        <f t="shared" si="46"/>
        <v>68237</v>
      </c>
      <c r="K414" s="92"/>
    </row>
    <row r="415" spans="1:12" ht="15.6" x14ac:dyDescent="0.3">
      <c r="A415" s="43"/>
      <c r="B415" s="43"/>
      <c r="C415" s="43"/>
      <c r="D415" s="42"/>
      <c r="E415" s="42"/>
      <c r="F415" s="42"/>
      <c r="G415" s="42"/>
      <c r="H415" s="42"/>
      <c r="I415" s="42"/>
      <c r="J415" s="42"/>
      <c r="K415" s="43"/>
    </row>
    <row r="416" spans="1:12" ht="15.6" x14ac:dyDescent="0.3">
      <c r="A416" s="87"/>
      <c r="B416" s="87"/>
      <c r="C416" s="87"/>
      <c r="D416" s="88"/>
      <c r="E416" s="88"/>
      <c r="F416" s="88"/>
      <c r="G416" s="88"/>
      <c r="H416" s="88"/>
      <c r="I416" s="88"/>
      <c r="J416" s="88"/>
      <c r="K416" s="87"/>
    </row>
    <row r="417" spans="1:11" ht="16.2" thickBot="1" x14ac:dyDescent="0.35">
      <c r="A417" s="137" t="s">
        <v>7</v>
      </c>
      <c r="B417" s="79"/>
      <c r="C417" s="80"/>
      <c r="D417" s="80"/>
      <c r="E417" s="80"/>
      <c r="F417" s="80"/>
      <c r="G417" s="80"/>
      <c r="H417" s="80"/>
      <c r="I417" s="80"/>
      <c r="J417" s="80"/>
      <c r="K417" s="86"/>
    </row>
    <row r="418" spans="1:11" ht="27.6" thickBot="1" x14ac:dyDescent="0.35">
      <c r="A418" s="16" t="s">
        <v>0</v>
      </c>
      <c r="B418" s="8" t="s">
        <v>1</v>
      </c>
      <c r="C418" s="16" t="s">
        <v>2</v>
      </c>
      <c r="D418" s="69" t="s">
        <v>854</v>
      </c>
      <c r="E418" s="580" t="s">
        <v>855</v>
      </c>
      <c r="F418" s="581"/>
      <c r="G418" s="581"/>
      <c r="H418" s="582"/>
      <c r="I418" s="111"/>
      <c r="J418" s="70" t="s">
        <v>856</v>
      </c>
      <c r="K418" s="8" t="s">
        <v>3</v>
      </c>
    </row>
    <row r="419" spans="1:11" ht="16.2" thickBot="1" x14ac:dyDescent="0.35">
      <c r="A419" s="64">
        <v>1</v>
      </c>
      <c r="B419" s="4" t="s">
        <v>1674</v>
      </c>
      <c r="C419" s="64"/>
      <c r="D419" s="6">
        <v>6036</v>
      </c>
      <c r="E419" s="487">
        <v>2040</v>
      </c>
      <c r="F419" s="485"/>
      <c r="G419" s="485"/>
      <c r="H419" s="486"/>
      <c r="I419" s="486"/>
      <c r="J419" s="70"/>
      <c r="K419" s="8"/>
    </row>
    <row r="420" spans="1:11" ht="16.2" thickBot="1" x14ac:dyDescent="0.35">
      <c r="A420" s="9">
        <v>2</v>
      </c>
      <c r="B420" s="3" t="s">
        <v>1347</v>
      </c>
      <c r="C420" s="17"/>
      <c r="D420" s="6">
        <v>6036</v>
      </c>
      <c r="E420" s="6">
        <v>2040</v>
      </c>
      <c r="F420" s="6">
        <v>1960</v>
      </c>
      <c r="G420" s="6">
        <v>2072</v>
      </c>
      <c r="H420" s="6"/>
      <c r="I420" s="6">
        <f>SUM(E420:H420)</f>
        <v>6072</v>
      </c>
      <c r="J420" s="6">
        <f>D420-E420-F420-G420-H420</f>
        <v>-36</v>
      </c>
      <c r="K420" s="6"/>
    </row>
    <row r="421" spans="1:11" ht="16.2" thickBot="1" x14ac:dyDescent="0.35">
      <c r="A421" s="64">
        <v>3</v>
      </c>
      <c r="B421" s="3" t="s">
        <v>1463</v>
      </c>
      <c r="C421" s="17"/>
      <c r="D421" s="6">
        <v>6036</v>
      </c>
      <c r="E421" s="6">
        <v>2040</v>
      </c>
      <c r="F421" s="6">
        <v>2000</v>
      </c>
      <c r="G421" s="6"/>
      <c r="H421" s="6"/>
      <c r="I421" s="6">
        <f t="shared" ref="I421:I422" si="47">SUM(E421:H421)</f>
        <v>4040</v>
      </c>
      <c r="J421" s="6">
        <f t="shared" ref="J421" si="48">D421-E421-F421-G421-H421</f>
        <v>1996</v>
      </c>
      <c r="K421" s="6" t="s">
        <v>1395</v>
      </c>
    </row>
    <row r="422" spans="1:11" ht="16.2" thickBot="1" x14ac:dyDescent="0.35">
      <c r="A422" s="9">
        <v>4</v>
      </c>
      <c r="B422" s="82" t="s">
        <v>1487</v>
      </c>
      <c r="C422" s="81"/>
      <c r="D422" s="83">
        <v>6036</v>
      </c>
      <c r="E422" s="83">
        <v>1000</v>
      </c>
      <c r="F422" s="83"/>
      <c r="G422" s="83"/>
      <c r="H422" s="83"/>
      <c r="I422" s="83">
        <f t="shared" si="47"/>
        <v>1000</v>
      </c>
      <c r="J422" s="83">
        <f>D422-E422-F422-G422-H422</f>
        <v>5036</v>
      </c>
      <c r="K422" s="83"/>
    </row>
    <row r="423" spans="1:11" ht="16.2" thickBot="1" x14ac:dyDescent="0.35">
      <c r="A423" s="64">
        <v>5</v>
      </c>
      <c r="B423" s="130" t="s">
        <v>1538</v>
      </c>
      <c r="C423" s="95"/>
      <c r="D423" s="83">
        <v>6036</v>
      </c>
      <c r="E423" s="74">
        <v>2040</v>
      </c>
      <c r="F423" s="74">
        <v>1400</v>
      </c>
      <c r="G423" s="74">
        <v>1100</v>
      </c>
      <c r="H423" s="74"/>
      <c r="I423" s="74">
        <f t="shared" ref="I423:I424" si="49">SUM(E423:H423)</f>
        <v>4540</v>
      </c>
      <c r="J423" s="74">
        <f>D423-E423-F423-G423-H423</f>
        <v>1496</v>
      </c>
      <c r="K423" s="75" t="s">
        <v>1395</v>
      </c>
    </row>
    <row r="424" spans="1:11" ht="16.2" thickBot="1" x14ac:dyDescent="0.35">
      <c r="A424" s="9">
        <v>6</v>
      </c>
      <c r="B424" s="155" t="s">
        <v>1732</v>
      </c>
      <c r="C424" s="39">
        <v>2947</v>
      </c>
      <c r="D424" s="83">
        <v>6036</v>
      </c>
      <c r="E424" s="42">
        <v>4700</v>
      </c>
      <c r="F424" s="42"/>
      <c r="G424" s="42"/>
      <c r="H424" s="42"/>
      <c r="I424" s="74">
        <f t="shared" si="49"/>
        <v>4700</v>
      </c>
      <c r="J424" s="74">
        <f>D424-E424-F424-G424-H424</f>
        <v>1336</v>
      </c>
      <c r="K424" s="43"/>
    </row>
    <row r="425" spans="1:11" ht="15.6" x14ac:dyDescent="0.3">
      <c r="A425" s="35"/>
      <c r="B425" s="34"/>
      <c r="C425" s="35"/>
      <c r="D425" s="495">
        <f>SUM(D419:D424)</f>
        <v>36216</v>
      </c>
      <c r="E425" s="495">
        <f>SUM(E419:E424)</f>
        <v>13860</v>
      </c>
      <c r="F425" s="495">
        <f t="shared" ref="F425:J425" si="50">SUM(F419:F423)</f>
        <v>5360</v>
      </c>
      <c r="G425" s="495">
        <f t="shared" si="50"/>
        <v>3172</v>
      </c>
      <c r="H425" s="495">
        <f t="shared" si="50"/>
        <v>0</v>
      </c>
      <c r="I425" s="495">
        <f t="shared" si="50"/>
        <v>15652</v>
      </c>
      <c r="J425" s="495">
        <f t="shared" si="50"/>
        <v>8492</v>
      </c>
      <c r="K425" s="43"/>
    </row>
    <row r="426" spans="1:11" ht="15.6" x14ac:dyDescent="0.3">
      <c r="A426" s="153"/>
      <c r="B426" s="154"/>
      <c r="C426" s="153"/>
      <c r="D426" s="88"/>
      <c r="E426" s="88"/>
      <c r="F426" s="88"/>
      <c r="G426" s="88"/>
      <c r="H426" s="88"/>
      <c r="I426" s="88"/>
      <c r="J426" s="88"/>
      <c r="K426" s="87"/>
    </row>
    <row r="427" spans="1:11" ht="16.2" thickBot="1" x14ac:dyDescent="0.35">
      <c r="A427" s="137" t="s">
        <v>1310</v>
      </c>
      <c r="B427" s="79"/>
      <c r="C427" s="80"/>
      <c r="D427" s="80"/>
      <c r="E427" s="80"/>
      <c r="F427" s="80"/>
      <c r="G427" s="80"/>
      <c r="H427" s="80"/>
      <c r="I427" s="80"/>
      <c r="J427" s="80"/>
      <c r="K427" s="86"/>
    </row>
    <row r="428" spans="1:11" ht="27.6" thickBot="1" x14ac:dyDescent="0.35">
      <c r="A428" s="16" t="s">
        <v>0</v>
      </c>
      <c r="B428" s="8" t="s">
        <v>1</v>
      </c>
      <c r="C428" s="16" t="s">
        <v>2</v>
      </c>
      <c r="D428" s="69" t="s">
        <v>854</v>
      </c>
      <c r="E428" s="580" t="s">
        <v>855</v>
      </c>
      <c r="F428" s="581"/>
      <c r="G428" s="581"/>
      <c r="H428" s="582"/>
      <c r="I428" s="111"/>
      <c r="J428" s="70" t="s">
        <v>856</v>
      </c>
      <c r="K428" s="8" t="s">
        <v>3</v>
      </c>
    </row>
    <row r="429" spans="1:11" ht="16.2" thickBot="1" x14ac:dyDescent="0.35">
      <c r="A429" s="17">
        <v>1</v>
      </c>
      <c r="B429" s="3" t="s">
        <v>1203</v>
      </c>
      <c r="C429" s="9">
        <v>2935</v>
      </c>
      <c r="D429" s="6">
        <v>4956</v>
      </c>
      <c r="E429" s="6"/>
      <c r="F429" s="6"/>
      <c r="G429" s="6"/>
      <c r="H429" s="6"/>
      <c r="I429" s="6">
        <f t="shared" ref="I429:I443" si="51">SUM(E429:H429)</f>
        <v>0</v>
      </c>
      <c r="J429" s="6">
        <f t="shared" ref="J429:J443" si="52">D429-E429-F429-G429-H429</f>
        <v>4956</v>
      </c>
      <c r="K429" s="6"/>
    </row>
    <row r="430" spans="1:11" ht="16.2" thickBot="1" x14ac:dyDescent="0.35">
      <c r="A430" s="17">
        <v>2</v>
      </c>
      <c r="B430" s="3" t="s">
        <v>474</v>
      </c>
      <c r="C430" s="9">
        <v>2936</v>
      </c>
      <c r="D430" s="6">
        <v>4956</v>
      </c>
      <c r="E430" s="6">
        <v>4000</v>
      </c>
      <c r="F430" s="6">
        <v>1784</v>
      </c>
      <c r="G430" s="6"/>
      <c r="H430" s="6"/>
      <c r="I430" s="6">
        <f t="shared" si="51"/>
        <v>5784</v>
      </c>
      <c r="J430" s="6">
        <f t="shared" si="52"/>
        <v>-828</v>
      </c>
      <c r="K430" s="6" t="s">
        <v>1395</v>
      </c>
    </row>
    <row r="431" spans="1:11" ht="16.2" thickBot="1" x14ac:dyDescent="0.35">
      <c r="A431" s="17">
        <v>3</v>
      </c>
      <c r="B431" s="4" t="s">
        <v>469</v>
      </c>
      <c r="C431" s="9">
        <v>2937</v>
      </c>
      <c r="D431" s="6">
        <v>4956</v>
      </c>
      <c r="E431" s="6">
        <v>3600</v>
      </c>
      <c r="F431" s="6"/>
      <c r="G431" s="6"/>
      <c r="H431" s="6"/>
      <c r="I431" s="6">
        <f t="shared" si="51"/>
        <v>3600</v>
      </c>
      <c r="J431" s="6">
        <f t="shared" si="52"/>
        <v>1356</v>
      </c>
      <c r="K431" s="6"/>
    </row>
    <row r="432" spans="1:11" ht="16.2" thickBot="1" x14ac:dyDescent="0.35">
      <c r="A432" s="17">
        <v>4</v>
      </c>
      <c r="B432" s="4" t="s">
        <v>892</v>
      </c>
      <c r="C432" s="9"/>
      <c r="D432" s="6">
        <v>4956</v>
      </c>
      <c r="E432" s="6"/>
      <c r="F432" s="6"/>
      <c r="G432" s="6"/>
      <c r="H432" s="6"/>
      <c r="I432" s="6">
        <f t="shared" si="51"/>
        <v>0</v>
      </c>
      <c r="J432" s="6">
        <f t="shared" si="52"/>
        <v>4956</v>
      </c>
      <c r="K432" s="7"/>
    </row>
    <row r="433" spans="1:12" ht="16.2" thickBot="1" x14ac:dyDescent="0.35">
      <c r="A433" s="17">
        <v>5</v>
      </c>
      <c r="B433" s="4" t="s">
        <v>475</v>
      </c>
      <c r="C433" s="9">
        <v>2939</v>
      </c>
      <c r="D433" s="6">
        <v>4956</v>
      </c>
      <c r="E433" s="6">
        <v>3000</v>
      </c>
      <c r="F433" s="6"/>
      <c r="G433" s="6"/>
      <c r="H433" s="6"/>
      <c r="I433" s="6">
        <f t="shared" si="51"/>
        <v>3000</v>
      </c>
      <c r="J433" s="6">
        <f t="shared" si="52"/>
        <v>1956</v>
      </c>
      <c r="K433" s="6" t="s">
        <v>1395</v>
      </c>
    </row>
    <row r="434" spans="1:12" ht="16.2" thickBot="1" x14ac:dyDescent="0.35">
      <c r="A434" s="17">
        <v>6</v>
      </c>
      <c r="B434" s="4" t="s">
        <v>476</v>
      </c>
      <c r="C434" s="9">
        <v>2940</v>
      </c>
      <c r="D434" s="6">
        <v>4956</v>
      </c>
      <c r="E434" s="6"/>
      <c r="F434" s="6"/>
      <c r="G434" s="6"/>
      <c r="H434" s="6"/>
      <c r="I434" s="6">
        <f t="shared" si="51"/>
        <v>0</v>
      </c>
      <c r="J434" s="6">
        <f t="shared" si="52"/>
        <v>4956</v>
      </c>
      <c r="K434" s="6"/>
    </row>
    <row r="435" spans="1:12" ht="16.2" thickBot="1" x14ac:dyDescent="0.35">
      <c r="A435" s="17">
        <v>7</v>
      </c>
      <c r="B435" s="3" t="s">
        <v>468</v>
      </c>
      <c r="C435" s="9">
        <v>2941</v>
      </c>
      <c r="D435" s="6">
        <v>4956</v>
      </c>
      <c r="E435" s="6">
        <v>2000</v>
      </c>
      <c r="F435" s="6"/>
      <c r="G435" s="6"/>
      <c r="H435" s="6"/>
      <c r="I435" s="6">
        <f t="shared" si="51"/>
        <v>2000</v>
      </c>
      <c r="J435" s="6">
        <f t="shared" si="52"/>
        <v>2956</v>
      </c>
      <c r="K435" s="6"/>
    </row>
    <row r="436" spans="1:12" ht="16.2" thickBot="1" x14ac:dyDescent="0.35">
      <c r="A436" s="17">
        <v>8</v>
      </c>
      <c r="B436" s="13" t="s">
        <v>695</v>
      </c>
      <c r="C436" s="9">
        <v>3016</v>
      </c>
      <c r="D436" s="6">
        <v>4956</v>
      </c>
      <c r="E436" s="6"/>
      <c r="F436" s="6"/>
      <c r="G436" s="6"/>
      <c r="H436" s="6"/>
      <c r="I436" s="6">
        <f t="shared" si="51"/>
        <v>0</v>
      </c>
      <c r="J436" s="6">
        <f t="shared" si="52"/>
        <v>4956</v>
      </c>
      <c r="K436" s="6"/>
    </row>
    <row r="437" spans="1:12" ht="16.2" thickBot="1" x14ac:dyDescent="0.35">
      <c r="A437" s="17">
        <v>9</v>
      </c>
      <c r="B437" s="4" t="s">
        <v>906</v>
      </c>
      <c r="C437" s="9"/>
      <c r="D437" s="6">
        <v>4956</v>
      </c>
      <c r="E437" s="6"/>
      <c r="F437" s="6"/>
      <c r="G437" s="6"/>
      <c r="H437" s="6"/>
      <c r="I437" s="6">
        <f t="shared" si="51"/>
        <v>0</v>
      </c>
      <c r="J437" s="6">
        <f t="shared" si="52"/>
        <v>4956</v>
      </c>
      <c r="K437" s="7"/>
    </row>
    <row r="438" spans="1:12" ht="16.2" thickBot="1" x14ac:dyDescent="0.35">
      <c r="A438" s="17">
        <v>10</v>
      </c>
      <c r="B438" s="3" t="s">
        <v>472</v>
      </c>
      <c r="C438" s="9">
        <v>2943</v>
      </c>
      <c r="D438" s="6">
        <v>4956</v>
      </c>
      <c r="E438" s="6"/>
      <c r="F438" s="6"/>
      <c r="G438" s="6"/>
      <c r="H438" s="6"/>
      <c r="I438" s="6">
        <f t="shared" si="51"/>
        <v>0</v>
      </c>
      <c r="J438" s="6">
        <f t="shared" si="52"/>
        <v>4956</v>
      </c>
      <c r="K438" s="6"/>
    </row>
    <row r="439" spans="1:12" ht="16.2" thickBot="1" x14ac:dyDescent="0.35">
      <c r="A439" s="17">
        <v>11</v>
      </c>
      <c r="B439" s="4" t="s">
        <v>470</v>
      </c>
      <c r="C439" s="9">
        <v>2942</v>
      </c>
      <c r="D439" s="6">
        <v>4956</v>
      </c>
      <c r="E439" s="6"/>
      <c r="F439" s="6"/>
      <c r="G439" s="6"/>
      <c r="H439" s="6"/>
      <c r="I439" s="6">
        <f t="shared" si="51"/>
        <v>0</v>
      </c>
      <c r="J439" s="6">
        <f t="shared" si="52"/>
        <v>4956</v>
      </c>
      <c r="K439" s="6"/>
    </row>
    <row r="440" spans="1:12" ht="16.2" thickBot="1" x14ac:dyDescent="0.35">
      <c r="A440" s="17">
        <v>12</v>
      </c>
      <c r="B440" s="4" t="s">
        <v>1213</v>
      </c>
      <c r="C440" s="11">
        <v>2945</v>
      </c>
      <c r="D440" s="6">
        <v>4956</v>
      </c>
      <c r="E440" s="6">
        <v>2000</v>
      </c>
      <c r="F440" s="6"/>
      <c r="G440" s="6"/>
      <c r="H440" s="6"/>
      <c r="I440" s="6">
        <f t="shared" si="51"/>
        <v>2000</v>
      </c>
      <c r="J440" s="6">
        <f t="shared" si="52"/>
        <v>2956</v>
      </c>
      <c r="K440" s="6"/>
      <c r="L440" s="531" t="s">
        <v>1725</v>
      </c>
    </row>
    <row r="441" spans="1:12" ht="16.2" thickBot="1" x14ac:dyDescent="0.35">
      <c r="A441" s="17">
        <v>13</v>
      </c>
      <c r="B441" s="4" t="s">
        <v>471</v>
      </c>
      <c r="C441" s="9">
        <v>2946</v>
      </c>
      <c r="D441" s="6">
        <v>4956</v>
      </c>
      <c r="E441" s="6"/>
      <c r="F441" s="6"/>
      <c r="G441" s="6"/>
      <c r="H441" s="6"/>
      <c r="I441" s="6">
        <f t="shared" si="51"/>
        <v>0</v>
      </c>
      <c r="J441" s="6">
        <f t="shared" si="52"/>
        <v>4956</v>
      </c>
      <c r="K441" s="6"/>
    </row>
    <row r="442" spans="1:12" ht="16.2" thickBot="1" x14ac:dyDescent="0.35">
      <c r="A442" s="17">
        <v>14</v>
      </c>
      <c r="B442" s="3" t="s">
        <v>467</v>
      </c>
      <c r="C442" s="9"/>
      <c r="D442" s="6">
        <v>4956</v>
      </c>
      <c r="E442" s="6">
        <v>4700</v>
      </c>
      <c r="F442" s="6"/>
      <c r="G442" s="6"/>
      <c r="H442" s="6"/>
      <c r="I442" s="6">
        <f t="shared" si="51"/>
        <v>4700</v>
      </c>
      <c r="J442" s="6">
        <f t="shared" si="52"/>
        <v>256</v>
      </c>
      <c r="K442" s="6" t="s">
        <v>1395</v>
      </c>
    </row>
    <row r="443" spans="1:12" ht="16.2" thickBot="1" x14ac:dyDescent="0.35">
      <c r="A443" s="81">
        <v>15</v>
      </c>
      <c r="B443" s="94" t="s">
        <v>473</v>
      </c>
      <c r="C443" s="136">
        <v>2948</v>
      </c>
      <c r="D443" s="6">
        <v>4956</v>
      </c>
      <c r="E443" s="83">
        <v>4120</v>
      </c>
      <c r="F443" s="83"/>
      <c r="G443" s="83"/>
      <c r="H443" s="83"/>
      <c r="I443" s="83">
        <f t="shared" si="51"/>
        <v>4120</v>
      </c>
      <c r="J443" s="83">
        <f t="shared" si="52"/>
        <v>836</v>
      </c>
      <c r="K443" s="83" t="s">
        <v>1395</v>
      </c>
    </row>
    <row r="444" spans="1:12" ht="15.6" x14ac:dyDescent="0.3">
      <c r="A444" s="89"/>
      <c r="B444" s="139"/>
      <c r="C444" s="138"/>
      <c r="D444" s="494">
        <f>SUM(D429:D443)</f>
        <v>74340</v>
      </c>
      <c r="E444" s="494">
        <f t="shared" ref="E444:J444" si="53">SUM(E429:E443)</f>
        <v>23420</v>
      </c>
      <c r="F444" s="494">
        <f t="shared" si="53"/>
        <v>1784</v>
      </c>
      <c r="G444" s="494">
        <f t="shared" si="53"/>
        <v>0</v>
      </c>
      <c r="H444" s="494">
        <f t="shared" si="53"/>
        <v>0</v>
      </c>
      <c r="I444" s="494">
        <f t="shared" si="53"/>
        <v>25204</v>
      </c>
      <c r="J444" s="494">
        <f t="shared" si="53"/>
        <v>49136</v>
      </c>
      <c r="K444" s="92"/>
    </row>
    <row r="445" spans="1:12" ht="15.6" x14ac:dyDescent="0.3">
      <c r="A445" s="39"/>
      <c r="B445" s="34"/>
      <c r="C445" s="35"/>
      <c r="D445" s="42"/>
      <c r="E445" s="42"/>
      <c r="F445" s="42"/>
      <c r="G445" s="42"/>
      <c r="H445" s="42"/>
      <c r="I445" s="42"/>
      <c r="J445" s="42"/>
      <c r="K445" s="43"/>
    </row>
    <row r="446" spans="1:12" ht="15.6" x14ac:dyDescent="0.3">
      <c r="A446" s="87"/>
      <c r="B446" s="87"/>
      <c r="C446" s="87"/>
      <c r="D446" s="88"/>
      <c r="E446" s="88"/>
      <c r="F446" s="88"/>
      <c r="G446" s="88"/>
      <c r="H446" s="88"/>
      <c r="I446" s="88"/>
      <c r="J446" s="88"/>
      <c r="K446" s="87"/>
    </row>
    <row r="447" spans="1:12" ht="16.2" thickBot="1" x14ac:dyDescent="0.35">
      <c r="A447" s="137" t="s">
        <v>1326</v>
      </c>
      <c r="B447" s="79"/>
      <c r="C447" s="80"/>
      <c r="D447" s="80"/>
      <c r="E447" s="80"/>
      <c r="F447" s="80"/>
      <c r="G447" s="80"/>
      <c r="H447" s="80"/>
      <c r="I447" s="80"/>
      <c r="J447" s="80"/>
      <c r="K447" s="86"/>
    </row>
    <row r="448" spans="1:12" ht="27.6" thickBot="1" x14ac:dyDescent="0.35">
      <c r="A448" s="16" t="s">
        <v>0</v>
      </c>
      <c r="B448" s="8" t="s">
        <v>1</v>
      </c>
      <c r="C448" s="16" t="s">
        <v>2</v>
      </c>
      <c r="D448" s="69" t="s">
        <v>854</v>
      </c>
      <c r="E448" s="580" t="s">
        <v>855</v>
      </c>
      <c r="F448" s="581"/>
      <c r="G448" s="581"/>
      <c r="H448" s="582"/>
      <c r="I448" s="111"/>
      <c r="J448" s="70" t="s">
        <v>856</v>
      </c>
      <c r="K448" s="8" t="s">
        <v>3</v>
      </c>
    </row>
    <row r="449" spans="1:11" ht="16.2" thickBot="1" x14ac:dyDescent="0.35">
      <c r="A449" s="17">
        <v>1</v>
      </c>
      <c r="B449" s="3" t="s">
        <v>179</v>
      </c>
      <c r="C449" s="9">
        <v>2150</v>
      </c>
      <c r="D449" s="6">
        <v>2000</v>
      </c>
      <c r="E449" s="6"/>
      <c r="F449" s="6"/>
      <c r="G449" s="6"/>
      <c r="H449" s="6"/>
      <c r="I449" s="6">
        <f t="shared" ref="I449:I453" si="54">SUM(E449:H449)</f>
        <v>0</v>
      </c>
      <c r="J449" s="6">
        <f>D449-E449-F449-G449-H449</f>
        <v>2000</v>
      </c>
      <c r="K449" s="6" t="s">
        <v>1629</v>
      </c>
    </row>
    <row r="450" spans="1:11" ht="16.2" thickBot="1" x14ac:dyDescent="0.35">
      <c r="A450" s="17">
        <v>2</v>
      </c>
      <c r="B450" s="3" t="s">
        <v>890</v>
      </c>
      <c r="C450" s="9"/>
      <c r="D450" s="6"/>
      <c r="E450" s="6"/>
      <c r="F450" s="6"/>
      <c r="G450" s="6"/>
      <c r="H450" s="6"/>
      <c r="I450" s="6">
        <f t="shared" si="54"/>
        <v>0</v>
      </c>
      <c r="J450" s="6">
        <f t="shared" ref="J450:J453" si="55">D450-E450-F450-G450-H450</f>
        <v>0</v>
      </c>
      <c r="K450" s="6"/>
    </row>
    <row r="451" spans="1:11" ht="16.2" thickBot="1" x14ac:dyDescent="0.35">
      <c r="A451" s="17">
        <v>3</v>
      </c>
      <c r="B451" s="3" t="s">
        <v>913</v>
      </c>
      <c r="C451" s="9">
        <v>2143</v>
      </c>
      <c r="D451" s="6">
        <v>3000</v>
      </c>
      <c r="E451" s="6"/>
      <c r="F451" s="6"/>
      <c r="G451" s="6"/>
      <c r="H451" s="6"/>
      <c r="I451" s="6">
        <f t="shared" si="54"/>
        <v>0</v>
      </c>
      <c r="J451" s="6">
        <f t="shared" si="55"/>
        <v>3000</v>
      </c>
      <c r="K451" s="7"/>
    </row>
    <row r="452" spans="1:11" ht="16.2" thickBot="1" x14ac:dyDescent="0.35">
      <c r="A452" s="17">
        <v>4</v>
      </c>
      <c r="B452" s="3" t="s">
        <v>923</v>
      </c>
      <c r="C452" s="9">
        <v>2147</v>
      </c>
      <c r="D452" s="6"/>
      <c r="E452" s="6"/>
      <c r="F452" s="6"/>
      <c r="G452" s="6"/>
      <c r="H452" s="6"/>
      <c r="I452" s="6">
        <f t="shared" si="54"/>
        <v>0</v>
      </c>
      <c r="J452" s="6">
        <f t="shared" si="55"/>
        <v>0</v>
      </c>
      <c r="K452" s="7"/>
    </row>
    <row r="453" spans="1:11" ht="15.6" x14ac:dyDescent="0.3">
      <c r="A453" s="81">
        <v>5</v>
      </c>
      <c r="B453" s="94" t="s">
        <v>927</v>
      </c>
      <c r="C453" s="136">
        <v>2148</v>
      </c>
      <c r="D453" s="83"/>
      <c r="E453" s="83"/>
      <c r="F453" s="83"/>
      <c r="G453" s="83"/>
      <c r="H453" s="83"/>
      <c r="I453" s="83">
        <f t="shared" si="54"/>
        <v>0</v>
      </c>
      <c r="J453" s="83">
        <f t="shared" si="55"/>
        <v>0</v>
      </c>
      <c r="K453" s="84"/>
    </row>
    <row r="454" spans="1:11" ht="15.6" x14ac:dyDescent="0.3">
      <c r="A454" s="138"/>
      <c r="B454" s="139"/>
      <c r="C454" s="138"/>
      <c r="D454" s="494">
        <f>SUM(D449:D453)</f>
        <v>5000</v>
      </c>
      <c r="E454" s="494">
        <f t="shared" ref="E454:J454" si="56">SUM(E449:E453)</f>
        <v>0</v>
      </c>
      <c r="F454" s="494">
        <f t="shared" si="56"/>
        <v>0</v>
      </c>
      <c r="G454" s="494">
        <f t="shared" si="56"/>
        <v>0</v>
      </c>
      <c r="H454" s="494">
        <f t="shared" si="56"/>
        <v>0</v>
      </c>
      <c r="I454" s="494">
        <f t="shared" si="56"/>
        <v>0</v>
      </c>
      <c r="J454" s="494">
        <f t="shared" si="56"/>
        <v>5000</v>
      </c>
      <c r="K454" s="92"/>
    </row>
    <row r="455" spans="1:11" ht="15.6" x14ac:dyDescent="0.3">
      <c r="A455" s="35"/>
      <c r="B455" s="34"/>
      <c r="C455" s="41"/>
      <c r="D455" s="42"/>
      <c r="E455" s="42"/>
      <c r="F455" s="42"/>
      <c r="G455" s="42"/>
      <c r="H455" s="42"/>
      <c r="I455" s="42"/>
      <c r="J455" s="42"/>
      <c r="K455" s="43"/>
    </row>
    <row r="456" spans="1:11" ht="15.6" x14ac:dyDescent="0.3">
      <c r="A456" s="87"/>
      <c r="B456" s="87"/>
      <c r="C456" s="87"/>
      <c r="D456" s="88"/>
      <c r="E456" s="88"/>
      <c r="F456" s="88"/>
      <c r="G456" s="88"/>
      <c r="H456" s="88"/>
      <c r="I456" s="88"/>
      <c r="J456" s="88"/>
      <c r="K456" s="87"/>
    </row>
    <row r="457" spans="1:11" ht="16.2" thickBot="1" x14ac:dyDescent="0.35">
      <c r="A457" s="98" t="s">
        <v>114</v>
      </c>
      <c r="B457" s="457"/>
      <c r="C457" s="74"/>
      <c r="D457" s="74"/>
      <c r="E457" s="74"/>
      <c r="F457" s="74"/>
      <c r="G457" s="74"/>
      <c r="H457" s="74"/>
      <c r="I457" s="74"/>
      <c r="J457" s="74"/>
      <c r="K457" s="462"/>
    </row>
    <row r="458" spans="1:11" ht="27" x14ac:dyDescent="0.3">
      <c r="A458" s="489" t="s">
        <v>0</v>
      </c>
      <c r="B458" s="73" t="s">
        <v>1</v>
      </c>
      <c r="C458" s="489" t="s">
        <v>2</v>
      </c>
      <c r="D458" s="230" t="s">
        <v>854</v>
      </c>
      <c r="E458" s="490" t="s">
        <v>855</v>
      </c>
      <c r="F458" s="490"/>
      <c r="G458" s="490"/>
      <c r="H458" s="490"/>
      <c r="I458" s="489"/>
      <c r="J458" s="232" t="s">
        <v>856</v>
      </c>
      <c r="K458" s="463" t="s">
        <v>3</v>
      </c>
    </row>
    <row r="459" spans="1:11" ht="15.6" x14ac:dyDescent="0.3">
      <c r="A459" s="75">
        <v>1</v>
      </c>
      <c r="B459" s="542" t="s">
        <v>1718</v>
      </c>
      <c r="C459" s="75"/>
      <c r="D459" s="74">
        <v>10660</v>
      </c>
      <c r="E459" s="74">
        <v>1900</v>
      </c>
      <c r="F459" s="74">
        <v>2640</v>
      </c>
      <c r="G459" s="74"/>
      <c r="H459" s="74"/>
      <c r="I459" s="74">
        <f>E459+F459+G459+H459</f>
        <v>4540</v>
      </c>
      <c r="J459" s="74">
        <f>D459-I459</f>
        <v>6120</v>
      </c>
      <c r="K459" s="464"/>
    </row>
    <row r="460" spans="1:11" ht="15.6" x14ac:dyDescent="0.3">
      <c r="A460" s="75">
        <v>2</v>
      </c>
      <c r="B460" s="377" t="s">
        <v>1539</v>
      </c>
      <c r="C460" s="74"/>
      <c r="D460" s="74">
        <v>10660</v>
      </c>
      <c r="E460" s="74">
        <v>1900</v>
      </c>
      <c r="F460" s="74">
        <v>2640</v>
      </c>
      <c r="G460" s="74">
        <v>6120</v>
      </c>
      <c r="H460" s="74"/>
      <c r="I460" s="74">
        <f t="shared" ref="I460:I485" si="57">E460+F460+G460+H460</f>
        <v>10660</v>
      </c>
      <c r="J460" s="74">
        <f t="shared" ref="J460:J485" si="58">D460-I460</f>
        <v>0</v>
      </c>
      <c r="K460" s="464"/>
    </row>
    <row r="461" spans="1:11" ht="15.6" x14ac:dyDescent="0.3">
      <c r="A461" s="75">
        <v>3</v>
      </c>
      <c r="B461" s="544" t="s">
        <v>1681</v>
      </c>
      <c r="C461" s="74"/>
      <c r="D461" s="74">
        <v>10660</v>
      </c>
      <c r="E461" s="74">
        <v>1900</v>
      </c>
      <c r="F461" s="74">
        <v>2640</v>
      </c>
      <c r="G461" s="74"/>
      <c r="H461" s="74"/>
      <c r="I461" s="74">
        <f t="shared" si="57"/>
        <v>4540</v>
      </c>
      <c r="J461" s="74">
        <f t="shared" si="58"/>
        <v>6120</v>
      </c>
      <c r="K461" s="464" t="s">
        <v>1749</v>
      </c>
    </row>
    <row r="462" spans="1:11" ht="15.6" x14ac:dyDescent="0.3">
      <c r="A462" s="75">
        <v>4</v>
      </c>
      <c r="B462" s="544" t="s">
        <v>1678</v>
      </c>
      <c r="C462" s="74"/>
      <c r="D462" s="74">
        <v>10660</v>
      </c>
      <c r="E462" s="74">
        <v>1900</v>
      </c>
      <c r="F462" s="74">
        <v>3600</v>
      </c>
      <c r="G462" s="74"/>
      <c r="H462" s="74"/>
      <c r="I462" s="74">
        <f t="shared" si="57"/>
        <v>5500</v>
      </c>
      <c r="J462" s="74">
        <f t="shared" si="58"/>
        <v>5160</v>
      </c>
      <c r="K462" s="464"/>
    </row>
    <row r="463" spans="1:11" ht="15.6" x14ac:dyDescent="0.3">
      <c r="A463" s="75">
        <v>5</v>
      </c>
      <c r="B463" s="377" t="s">
        <v>1682</v>
      </c>
      <c r="C463" s="74"/>
      <c r="D463" s="74">
        <v>10660</v>
      </c>
      <c r="E463" s="271">
        <v>1900</v>
      </c>
      <c r="F463" s="74">
        <v>2640</v>
      </c>
      <c r="G463" s="74">
        <v>3000</v>
      </c>
      <c r="H463" s="74"/>
      <c r="I463" s="74">
        <f t="shared" si="57"/>
        <v>7540</v>
      </c>
      <c r="J463" s="74">
        <f t="shared" si="58"/>
        <v>3120</v>
      </c>
      <c r="K463" s="464"/>
    </row>
    <row r="464" spans="1:11" ht="15.6" x14ac:dyDescent="0.3">
      <c r="A464" s="75">
        <v>6</v>
      </c>
      <c r="B464" s="377" t="s">
        <v>1558</v>
      </c>
      <c r="C464" s="74"/>
      <c r="D464" s="74">
        <v>10660</v>
      </c>
      <c r="E464" s="74">
        <v>1900</v>
      </c>
      <c r="F464" s="74">
        <v>2640</v>
      </c>
      <c r="G464" s="74">
        <v>3450</v>
      </c>
      <c r="H464" s="74"/>
      <c r="I464" s="74">
        <f t="shared" si="57"/>
        <v>7990</v>
      </c>
      <c r="J464" s="74">
        <f t="shared" si="58"/>
        <v>2670</v>
      </c>
      <c r="K464" s="464"/>
    </row>
    <row r="465" spans="1:12" ht="15.6" x14ac:dyDescent="0.3">
      <c r="A465" s="75">
        <v>7</v>
      </c>
      <c r="B465" s="543" t="s">
        <v>1683</v>
      </c>
      <c r="C465" s="74"/>
      <c r="D465" s="74">
        <v>10660</v>
      </c>
      <c r="E465" s="74"/>
      <c r="F465" s="74">
        <v>2640</v>
      </c>
      <c r="G465" s="74"/>
      <c r="H465" s="74"/>
      <c r="I465" s="74">
        <f t="shared" si="57"/>
        <v>2640</v>
      </c>
      <c r="J465" s="74">
        <f t="shared" si="58"/>
        <v>8020</v>
      </c>
      <c r="K465" s="464"/>
    </row>
    <row r="466" spans="1:12" ht="15.6" x14ac:dyDescent="0.3">
      <c r="A466" s="75">
        <v>8</v>
      </c>
      <c r="B466" s="377" t="s">
        <v>1523</v>
      </c>
      <c r="C466" s="75"/>
      <c r="D466" s="74">
        <v>10660</v>
      </c>
      <c r="E466" s="74">
        <v>1900</v>
      </c>
      <c r="F466" s="74">
        <v>1640</v>
      </c>
      <c r="G466" s="74">
        <v>3000</v>
      </c>
      <c r="H466" s="74"/>
      <c r="I466" s="74">
        <f t="shared" si="57"/>
        <v>6540</v>
      </c>
      <c r="J466" s="74">
        <f t="shared" si="58"/>
        <v>4120</v>
      </c>
      <c r="K466" s="464"/>
    </row>
    <row r="467" spans="1:12" ht="15.6" x14ac:dyDescent="0.3">
      <c r="A467" s="75">
        <v>9</v>
      </c>
      <c r="B467" s="377" t="s">
        <v>1602</v>
      </c>
      <c r="C467" s="74"/>
      <c r="D467" s="74">
        <v>10660</v>
      </c>
      <c r="E467" s="74">
        <v>1900</v>
      </c>
      <c r="F467" s="74">
        <v>2640</v>
      </c>
      <c r="G467" s="74">
        <v>3000</v>
      </c>
      <c r="H467" s="74"/>
      <c r="I467" s="74">
        <f t="shared" si="57"/>
        <v>7540</v>
      </c>
      <c r="J467" s="74">
        <f t="shared" si="58"/>
        <v>3120</v>
      </c>
      <c r="K467" s="464"/>
    </row>
    <row r="468" spans="1:12" ht="15.6" x14ac:dyDescent="0.3">
      <c r="A468" s="75">
        <v>10</v>
      </c>
      <c r="B468" s="543" t="s">
        <v>1604</v>
      </c>
      <c r="C468" s="74"/>
      <c r="D468" s="74">
        <v>10660</v>
      </c>
      <c r="E468" s="74">
        <v>1900</v>
      </c>
      <c r="F468" s="74">
        <v>2640</v>
      </c>
      <c r="G468" s="74"/>
      <c r="H468" s="74"/>
      <c r="I468" s="74">
        <f t="shared" si="57"/>
        <v>4540</v>
      </c>
      <c r="J468" s="74">
        <f t="shared" si="58"/>
        <v>6120</v>
      </c>
      <c r="K468" s="464"/>
      <c r="L468">
        <v>2640</v>
      </c>
    </row>
    <row r="469" spans="1:12" ht="15.6" x14ac:dyDescent="0.3">
      <c r="A469" s="75">
        <v>11</v>
      </c>
      <c r="B469" s="544" t="s">
        <v>1634</v>
      </c>
      <c r="C469" s="74"/>
      <c r="D469" s="74">
        <v>10660</v>
      </c>
      <c r="E469" s="74">
        <v>1900</v>
      </c>
      <c r="F469" s="74"/>
      <c r="G469" s="74"/>
      <c r="H469" s="74"/>
      <c r="I469" s="74">
        <f t="shared" si="57"/>
        <v>1900</v>
      </c>
      <c r="J469" s="74">
        <f t="shared" si="58"/>
        <v>8760</v>
      </c>
      <c r="K469" s="464" t="s">
        <v>1709</v>
      </c>
      <c r="L469">
        <v>1900</v>
      </c>
    </row>
    <row r="470" spans="1:12" ht="15.6" x14ac:dyDescent="0.3">
      <c r="A470" s="75">
        <v>12</v>
      </c>
      <c r="B470" s="377" t="s">
        <v>1543</v>
      </c>
      <c r="C470" s="74"/>
      <c r="D470" s="74">
        <v>10660</v>
      </c>
      <c r="E470" s="74">
        <v>1900</v>
      </c>
      <c r="F470" s="74">
        <v>1140</v>
      </c>
      <c r="G470" s="74">
        <v>1500</v>
      </c>
      <c r="H470" s="74">
        <v>3070</v>
      </c>
      <c r="I470" s="74">
        <f t="shared" si="57"/>
        <v>7610</v>
      </c>
      <c r="J470" s="74">
        <f t="shared" si="58"/>
        <v>3050</v>
      </c>
      <c r="K470" s="464"/>
      <c r="L470">
        <v>6120</v>
      </c>
    </row>
    <row r="471" spans="1:12" ht="15.6" x14ac:dyDescent="0.3">
      <c r="A471" s="75">
        <v>13</v>
      </c>
      <c r="B471" s="377" t="s">
        <v>1541</v>
      </c>
      <c r="C471" s="74"/>
      <c r="D471" s="74">
        <v>10660</v>
      </c>
      <c r="E471" s="74">
        <v>1900</v>
      </c>
      <c r="F471" s="74">
        <v>2640</v>
      </c>
      <c r="G471" s="74">
        <v>3000</v>
      </c>
      <c r="H471" s="74"/>
      <c r="I471" s="74">
        <f t="shared" si="57"/>
        <v>7540</v>
      </c>
      <c r="J471" s="74">
        <f t="shared" si="58"/>
        <v>3120</v>
      </c>
      <c r="K471" s="464"/>
    </row>
    <row r="472" spans="1:12" ht="15.6" x14ac:dyDescent="0.3">
      <c r="A472" s="75">
        <v>14</v>
      </c>
      <c r="B472" s="544" t="s">
        <v>1708</v>
      </c>
      <c r="C472" s="74"/>
      <c r="D472" s="74">
        <v>10660</v>
      </c>
      <c r="E472" s="74">
        <v>1100</v>
      </c>
      <c r="F472" s="74">
        <v>1700</v>
      </c>
      <c r="G472" s="74"/>
      <c r="H472" s="74"/>
      <c r="I472" s="74">
        <f t="shared" si="57"/>
        <v>2800</v>
      </c>
      <c r="J472" s="74">
        <f t="shared" si="58"/>
        <v>7860</v>
      </c>
      <c r="K472" s="464" t="s">
        <v>1738</v>
      </c>
    </row>
    <row r="473" spans="1:12" ht="15.6" x14ac:dyDescent="0.3">
      <c r="A473" s="75">
        <v>15</v>
      </c>
      <c r="B473" s="377" t="s">
        <v>1510</v>
      </c>
      <c r="C473" s="75"/>
      <c r="D473" s="74">
        <v>10660</v>
      </c>
      <c r="E473" s="74">
        <v>1900</v>
      </c>
      <c r="F473" s="74">
        <v>2640</v>
      </c>
      <c r="G473" s="271">
        <v>4000</v>
      </c>
      <c r="H473" s="74"/>
      <c r="I473" s="74">
        <f t="shared" si="57"/>
        <v>8540</v>
      </c>
      <c r="J473" s="74">
        <f t="shared" si="58"/>
        <v>2120</v>
      </c>
      <c r="K473" s="464"/>
    </row>
    <row r="474" spans="1:12" ht="15.6" x14ac:dyDescent="0.3">
      <c r="A474" s="75">
        <v>16</v>
      </c>
      <c r="B474" s="543" t="s">
        <v>1574</v>
      </c>
      <c r="C474" s="74"/>
      <c r="D474" s="74">
        <v>10660</v>
      </c>
      <c r="E474" s="74">
        <v>1900</v>
      </c>
      <c r="F474" s="74">
        <v>2640</v>
      </c>
      <c r="G474" s="74"/>
      <c r="H474" s="74"/>
      <c r="I474" s="74">
        <f t="shared" si="57"/>
        <v>4540</v>
      </c>
      <c r="J474" s="74">
        <f t="shared" si="58"/>
        <v>6120</v>
      </c>
      <c r="K474" s="464"/>
      <c r="L474" t="s">
        <v>1714</v>
      </c>
    </row>
    <row r="475" spans="1:12" ht="15.6" x14ac:dyDescent="0.3">
      <c r="A475" s="75">
        <v>17</v>
      </c>
      <c r="B475" s="377" t="s">
        <v>1702</v>
      </c>
      <c r="C475" s="74"/>
      <c r="D475" s="74">
        <v>10660</v>
      </c>
      <c r="E475" s="74">
        <v>1900</v>
      </c>
      <c r="F475" s="74">
        <v>2640</v>
      </c>
      <c r="G475" s="74">
        <v>5000</v>
      </c>
      <c r="H475" s="74"/>
      <c r="I475" s="74">
        <f t="shared" si="57"/>
        <v>9540</v>
      </c>
      <c r="J475" s="74">
        <f t="shared" si="58"/>
        <v>1120</v>
      </c>
      <c r="K475" s="464"/>
    </row>
    <row r="476" spans="1:12" ht="15.6" x14ac:dyDescent="0.3">
      <c r="A476" s="75">
        <v>18</v>
      </c>
      <c r="B476" s="377" t="s">
        <v>1529</v>
      </c>
      <c r="C476" s="75"/>
      <c r="D476" s="74">
        <v>10660</v>
      </c>
      <c r="E476" s="74">
        <v>1900</v>
      </c>
      <c r="F476" s="74">
        <v>2640</v>
      </c>
      <c r="G476" s="74">
        <v>3500</v>
      </c>
      <c r="H476" s="74"/>
      <c r="I476" s="74">
        <f t="shared" si="57"/>
        <v>8040</v>
      </c>
      <c r="J476" s="74">
        <f t="shared" si="58"/>
        <v>2620</v>
      </c>
      <c r="K476" s="464"/>
      <c r="L476">
        <f>60%*J475</f>
        <v>672</v>
      </c>
    </row>
    <row r="477" spans="1:12" ht="15.6" x14ac:dyDescent="0.3">
      <c r="A477" s="75">
        <v>19</v>
      </c>
      <c r="B477" s="377" t="s">
        <v>1555</v>
      </c>
      <c r="C477" s="74"/>
      <c r="D477" s="74">
        <v>10660</v>
      </c>
      <c r="E477" s="74">
        <v>1900</v>
      </c>
      <c r="F477" s="74">
        <v>2640</v>
      </c>
      <c r="G477" s="74">
        <v>2120</v>
      </c>
      <c r="H477" s="74"/>
      <c r="I477" s="74">
        <f t="shared" si="57"/>
        <v>6660</v>
      </c>
      <c r="J477" s="74">
        <f t="shared" si="58"/>
        <v>4000</v>
      </c>
      <c r="K477" s="464"/>
    </row>
    <row r="478" spans="1:12" ht="15.6" x14ac:dyDescent="0.3">
      <c r="A478" s="75">
        <v>20</v>
      </c>
      <c r="B478" s="377" t="s">
        <v>1685</v>
      </c>
      <c r="C478" s="74"/>
      <c r="D478" s="74">
        <v>10660</v>
      </c>
      <c r="E478" s="74">
        <v>6120</v>
      </c>
      <c r="F478" s="74"/>
      <c r="G478" s="74"/>
      <c r="H478" s="74"/>
      <c r="I478" s="74">
        <f t="shared" si="57"/>
        <v>6120</v>
      </c>
      <c r="J478" s="74">
        <f t="shared" si="58"/>
        <v>4540</v>
      </c>
      <c r="K478" s="464"/>
    </row>
    <row r="479" spans="1:12" ht="15.6" x14ac:dyDescent="0.3">
      <c r="A479" s="75">
        <v>21</v>
      </c>
      <c r="B479" s="377" t="s">
        <v>1668</v>
      </c>
      <c r="C479" s="74"/>
      <c r="D479" s="74">
        <v>10660</v>
      </c>
      <c r="E479" s="74">
        <v>1900</v>
      </c>
      <c r="F479" s="74">
        <v>2540</v>
      </c>
      <c r="G479" s="74">
        <v>2000</v>
      </c>
      <c r="H479" s="74"/>
      <c r="I479" s="74">
        <f t="shared" si="57"/>
        <v>6440</v>
      </c>
      <c r="J479" s="74">
        <f t="shared" si="58"/>
        <v>4220</v>
      </c>
      <c r="K479" s="464"/>
    </row>
    <row r="480" spans="1:12" ht="15.6" x14ac:dyDescent="0.3">
      <c r="A480" s="75">
        <v>22</v>
      </c>
      <c r="B480" s="377" t="s">
        <v>1137</v>
      </c>
      <c r="C480" s="74"/>
      <c r="D480" s="74">
        <v>10660</v>
      </c>
      <c r="E480" s="74">
        <v>1900</v>
      </c>
      <c r="F480" s="74">
        <v>2640</v>
      </c>
      <c r="G480" s="74">
        <v>4000</v>
      </c>
      <c r="H480" s="74"/>
      <c r="I480" s="74">
        <f t="shared" si="57"/>
        <v>8540</v>
      </c>
      <c r="J480" s="74">
        <f t="shared" si="58"/>
        <v>2120</v>
      </c>
      <c r="K480" s="464"/>
    </row>
    <row r="481" spans="1:19" ht="15.6" x14ac:dyDescent="0.3">
      <c r="A481" s="75">
        <v>23</v>
      </c>
      <c r="B481" s="543" t="s">
        <v>1686</v>
      </c>
      <c r="C481" s="74"/>
      <c r="D481" s="74">
        <v>10660</v>
      </c>
      <c r="E481" s="74">
        <v>1900</v>
      </c>
      <c r="F481" s="74"/>
      <c r="G481" s="74"/>
      <c r="H481" s="74"/>
      <c r="I481" s="74">
        <f t="shared" si="57"/>
        <v>1900</v>
      </c>
      <c r="J481" s="74">
        <f t="shared" si="58"/>
        <v>8760</v>
      </c>
      <c r="K481" s="464"/>
    </row>
    <row r="482" spans="1:19" ht="15.6" x14ac:dyDescent="0.3">
      <c r="A482" s="75">
        <v>24</v>
      </c>
      <c r="B482" s="377" t="s">
        <v>1687</v>
      </c>
      <c r="C482" s="74"/>
      <c r="D482" s="74">
        <v>10660</v>
      </c>
      <c r="E482" s="74">
        <v>1900</v>
      </c>
      <c r="F482" s="74">
        <v>2640</v>
      </c>
      <c r="G482" s="74">
        <v>2000</v>
      </c>
      <c r="H482" s="74"/>
      <c r="I482" s="74">
        <f t="shared" si="57"/>
        <v>6540</v>
      </c>
      <c r="J482" s="74">
        <f t="shared" si="58"/>
        <v>4120</v>
      </c>
      <c r="K482" s="464"/>
    </row>
    <row r="483" spans="1:19" ht="15.6" x14ac:dyDescent="0.3">
      <c r="A483" s="75">
        <v>25</v>
      </c>
      <c r="B483" s="377" t="s">
        <v>1680</v>
      </c>
      <c r="C483" s="74"/>
      <c r="D483" s="74">
        <v>10660</v>
      </c>
      <c r="E483" s="74">
        <v>1900</v>
      </c>
      <c r="F483" s="74">
        <v>2640</v>
      </c>
      <c r="G483" s="74">
        <v>4000</v>
      </c>
      <c r="H483" s="74"/>
      <c r="I483" s="74">
        <f t="shared" si="57"/>
        <v>8540</v>
      </c>
      <c r="J483" s="74">
        <f t="shared" si="58"/>
        <v>2120</v>
      </c>
      <c r="K483" s="464"/>
    </row>
    <row r="484" spans="1:19" ht="15.6" x14ac:dyDescent="0.3">
      <c r="A484" s="75">
        <v>26</v>
      </c>
      <c r="B484" s="543" t="s">
        <v>1652</v>
      </c>
      <c r="C484" s="74"/>
      <c r="D484" s="74">
        <v>10660</v>
      </c>
      <c r="E484" s="74">
        <v>1500</v>
      </c>
      <c r="F484" s="74"/>
      <c r="G484" s="74"/>
      <c r="H484" s="74"/>
      <c r="I484" s="74">
        <f t="shared" si="57"/>
        <v>1500</v>
      </c>
      <c r="J484" s="74">
        <f t="shared" si="58"/>
        <v>9160</v>
      </c>
      <c r="K484" s="464"/>
    </row>
    <row r="485" spans="1:19" ht="15.6" x14ac:dyDescent="0.3">
      <c r="A485" s="75">
        <v>27</v>
      </c>
      <c r="B485" s="377" t="s">
        <v>1688</v>
      </c>
      <c r="C485" s="74"/>
      <c r="D485" s="74">
        <v>10660</v>
      </c>
      <c r="E485" s="74">
        <v>1900</v>
      </c>
      <c r="F485" s="74">
        <v>2640</v>
      </c>
      <c r="G485" s="74">
        <v>5500</v>
      </c>
      <c r="H485" s="74"/>
      <c r="I485" s="74">
        <f t="shared" si="57"/>
        <v>10040</v>
      </c>
      <c r="J485" s="74">
        <f t="shared" si="58"/>
        <v>620</v>
      </c>
      <c r="K485" s="464"/>
    </row>
    <row r="486" spans="1:19" ht="15.6" x14ac:dyDescent="0.3">
      <c r="A486" s="75">
        <v>28</v>
      </c>
      <c r="B486" s="377" t="s">
        <v>1542</v>
      </c>
      <c r="C486" s="74"/>
      <c r="D486" s="74">
        <v>10660</v>
      </c>
      <c r="E486" s="74">
        <v>1900</v>
      </c>
      <c r="F486" s="74">
        <v>2640</v>
      </c>
      <c r="G486" s="74">
        <v>2000</v>
      </c>
      <c r="H486" s="74"/>
      <c r="I486" s="74">
        <f>E486+F486+G486+H486</f>
        <v>6540</v>
      </c>
      <c r="J486" s="74">
        <f>D486-I486</f>
        <v>4120</v>
      </c>
      <c r="K486" s="377" t="s">
        <v>1600</v>
      </c>
      <c r="L486" s="74"/>
      <c r="M486" s="74">
        <v>1900</v>
      </c>
      <c r="N486" s="74">
        <v>1900</v>
      </c>
      <c r="O486" s="74"/>
      <c r="P486" s="74"/>
      <c r="Q486" s="74"/>
      <c r="R486" s="74">
        <f>N486+O486+P486+Q486</f>
        <v>1900</v>
      </c>
      <c r="S486" s="74">
        <f>M486-R486</f>
        <v>0</v>
      </c>
    </row>
    <row r="487" spans="1:19" ht="15.6" x14ac:dyDescent="0.3">
      <c r="A487" s="75">
        <v>29</v>
      </c>
      <c r="B487" s="543" t="s">
        <v>1471</v>
      </c>
      <c r="C487" s="75"/>
      <c r="D487" s="74">
        <v>10660</v>
      </c>
      <c r="E487" s="74">
        <v>1900</v>
      </c>
      <c r="F487" s="74">
        <v>2640</v>
      </c>
      <c r="G487" s="74"/>
      <c r="H487" s="74"/>
      <c r="I487" s="74">
        <f>E487+F487+G487+H487</f>
        <v>4540</v>
      </c>
      <c r="J487" s="74">
        <f>D487-I487</f>
        <v>6120</v>
      </c>
      <c r="K487" s="75"/>
    </row>
    <row r="488" spans="1:19" ht="15.6" x14ac:dyDescent="0.3">
      <c r="A488" s="75">
        <v>30</v>
      </c>
      <c r="B488" s="377" t="s">
        <v>1528</v>
      </c>
      <c r="C488" s="75"/>
      <c r="D488" s="74">
        <v>10660</v>
      </c>
      <c r="E488" s="74">
        <v>1900</v>
      </c>
      <c r="F488" s="74">
        <v>2640</v>
      </c>
      <c r="G488" s="74">
        <v>6120</v>
      </c>
      <c r="H488" s="74"/>
      <c r="I488" s="74">
        <f>E488+F488+G488+H488</f>
        <v>10660</v>
      </c>
      <c r="J488" s="74">
        <f>D488-I488</f>
        <v>0</v>
      </c>
      <c r="K488" s="75"/>
    </row>
    <row r="489" spans="1:19" ht="15.6" x14ac:dyDescent="0.3">
      <c r="A489" s="75">
        <v>31</v>
      </c>
      <c r="B489" s="377" t="s">
        <v>1689</v>
      </c>
      <c r="C489" s="75"/>
      <c r="D489" s="74">
        <v>10660</v>
      </c>
      <c r="E489" s="74">
        <v>1900</v>
      </c>
      <c r="F489" s="74">
        <v>1540</v>
      </c>
      <c r="G489" s="74">
        <v>1100</v>
      </c>
      <c r="H489" s="74">
        <v>6120</v>
      </c>
      <c r="I489" s="74">
        <f t="shared" ref="I489:I504" si="59">E489+F489+G489+H489</f>
        <v>10660</v>
      </c>
      <c r="J489" s="74">
        <f t="shared" ref="J489:J504" si="60">D489-I489</f>
        <v>0</v>
      </c>
      <c r="K489" s="75"/>
    </row>
    <row r="490" spans="1:19" ht="15.6" x14ac:dyDescent="0.3">
      <c r="A490" s="75">
        <v>32</v>
      </c>
      <c r="B490" s="377" t="s">
        <v>1532</v>
      </c>
      <c r="C490" s="75"/>
      <c r="D490" s="74">
        <v>10660</v>
      </c>
      <c r="E490" s="74">
        <v>1900</v>
      </c>
      <c r="F490" s="74">
        <v>1100</v>
      </c>
      <c r="G490" s="74">
        <v>1540</v>
      </c>
      <c r="H490" s="74">
        <v>6000</v>
      </c>
      <c r="I490" s="74">
        <f t="shared" si="59"/>
        <v>10540</v>
      </c>
      <c r="J490" s="74">
        <f t="shared" si="60"/>
        <v>120</v>
      </c>
      <c r="K490" s="75"/>
    </row>
    <row r="491" spans="1:19" ht="15.6" x14ac:dyDescent="0.3">
      <c r="A491" s="75">
        <v>33</v>
      </c>
      <c r="B491" s="377" t="s">
        <v>1553</v>
      </c>
      <c r="C491" s="74"/>
      <c r="D491" s="74">
        <v>10660</v>
      </c>
      <c r="E491" s="74">
        <v>1900</v>
      </c>
      <c r="F491" s="74">
        <v>1100</v>
      </c>
      <c r="G491" s="74">
        <v>1540</v>
      </c>
      <c r="H491" s="74">
        <v>3000</v>
      </c>
      <c r="I491" s="74">
        <f t="shared" si="59"/>
        <v>7540</v>
      </c>
      <c r="J491" s="74">
        <f t="shared" si="60"/>
        <v>3120</v>
      </c>
      <c r="K491" s="75"/>
    </row>
    <row r="492" spans="1:19" ht="15.6" x14ac:dyDescent="0.3">
      <c r="A492" s="75">
        <v>34</v>
      </c>
      <c r="B492" s="377" t="s">
        <v>1521</v>
      </c>
      <c r="C492" s="75"/>
      <c r="D492" s="74">
        <v>10660</v>
      </c>
      <c r="E492" s="74">
        <v>1900</v>
      </c>
      <c r="F492" s="74">
        <v>3000</v>
      </c>
      <c r="G492" s="74">
        <v>2640</v>
      </c>
      <c r="H492" s="74"/>
      <c r="I492" s="74">
        <f t="shared" si="59"/>
        <v>7540</v>
      </c>
      <c r="J492" s="74">
        <f t="shared" si="60"/>
        <v>3120</v>
      </c>
      <c r="K492" s="75"/>
    </row>
    <row r="493" spans="1:19" ht="15.6" x14ac:dyDescent="0.3">
      <c r="A493" s="75">
        <v>35</v>
      </c>
      <c r="B493" s="377" t="s">
        <v>1545</v>
      </c>
      <c r="C493" s="74"/>
      <c r="D493" s="74">
        <v>10660</v>
      </c>
      <c r="E493" s="74">
        <v>1900</v>
      </c>
      <c r="F493" s="74">
        <v>2640</v>
      </c>
      <c r="G493" s="74">
        <v>2000</v>
      </c>
      <c r="H493" s="74"/>
      <c r="I493" s="74">
        <f t="shared" si="59"/>
        <v>6540</v>
      </c>
      <c r="J493" s="74">
        <f t="shared" si="60"/>
        <v>4120</v>
      </c>
      <c r="K493" s="75"/>
    </row>
    <row r="494" spans="1:19" ht="15.6" x14ac:dyDescent="0.3">
      <c r="A494" s="75">
        <v>36</v>
      </c>
      <c r="B494" s="543" t="s">
        <v>1601</v>
      </c>
      <c r="C494" s="74"/>
      <c r="D494" s="74">
        <v>10660</v>
      </c>
      <c r="E494" s="74">
        <v>1900</v>
      </c>
      <c r="F494" s="74"/>
      <c r="G494" s="74"/>
      <c r="H494" s="74"/>
      <c r="I494" s="74">
        <f t="shared" si="59"/>
        <v>1900</v>
      </c>
      <c r="J494" s="74">
        <f t="shared" si="60"/>
        <v>8760</v>
      </c>
      <c r="K494" s="75"/>
    </row>
    <row r="495" spans="1:19" ht="15.6" x14ac:dyDescent="0.3">
      <c r="A495" s="75">
        <v>37</v>
      </c>
      <c r="B495" s="377" t="s">
        <v>1700</v>
      </c>
      <c r="C495" s="74"/>
      <c r="D495" s="74">
        <v>10660</v>
      </c>
      <c r="E495" s="74">
        <v>1900</v>
      </c>
      <c r="F495" s="74">
        <v>2640</v>
      </c>
      <c r="G495" s="74">
        <v>2000</v>
      </c>
      <c r="H495" s="74"/>
      <c r="I495" s="74">
        <f t="shared" si="59"/>
        <v>6540</v>
      </c>
      <c r="J495" s="74">
        <f t="shared" si="60"/>
        <v>4120</v>
      </c>
      <c r="K495" s="75"/>
    </row>
    <row r="496" spans="1:19" ht="15.6" x14ac:dyDescent="0.3">
      <c r="A496" s="75">
        <v>38</v>
      </c>
      <c r="B496" s="377" t="s">
        <v>1684</v>
      </c>
      <c r="C496" s="74"/>
      <c r="D496" s="74">
        <v>10660</v>
      </c>
      <c r="E496" s="74">
        <v>1900</v>
      </c>
      <c r="F496" s="74">
        <v>2640</v>
      </c>
      <c r="G496" s="74">
        <v>5120</v>
      </c>
      <c r="H496" s="74"/>
      <c r="I496" s="74">
        <f t="shared" si="59"/>
        <v>9660</v>
      </c>
      <c r="J496" s="74">
        <f t="shared" si="60"/>
        <v>1000</v>
      </c>
      <c r="K496" s="75"/>
    </row>
    <row r="497" spans="1:12" ht="15.6" x14ac:dyDescent="0.3">
      <c r="A497" s="75">
        <v>39</v>
      </c>
      <c r="B497" s="377" t="s">
        <v>1530</v>
      </c>
      <c r="C497" s="75"/>
      <c r="D497" s="74">
        <v>10660</v>
      </c>
      <c r="E497" s="74">
        <v>1900</v>
      </c>
      <c r="F497" s="74">
        <v>2640</v>
      </c>
      <c r="G497" s="74">
        <v>4120</v>
      </c>
      <c r="H497" s="74">
        <v>2000</v>
      </c>
      <c r="I497" s="74">
        <f t="shared" si="59"/>
        <v>10660</v>
      </c>
      <c r="J497" s="74">
        <f t="shared" si="60"/>
        <v>0</v>
      </c>
      <c r="K497" s="75"/>
    </row>
    <row r="498" spans="1:12" ht="15.6" x14ac:dyDescent="0.3">
      <c r="A498" s="75">
        <v>40</v>
      </c>
      <c r="B498" s="377" t="s">
        <v>1690</v>
      </c>
      <c r="C498" s="75"/>
      <c r="D498" s="74">
        <v>10660</v>
      </c>
      <c r="E498" s="74">
        <v>1500</v>
      </c>
      <c r="F498" s="74">
        <v>2640</v>
      </c>
      <c r="G498" s="74">
        <v>4000</v>
      </c>
      <c r="H498" s="74"/>
      <c r="I498" s="74">
        <f t="shared" si="59"/>
        <v>8140</v>
      </c>
      <c r="J498" s="74">
        <f t="shared" si="60"/>
        <v>2520</v>
      </c>
      <c r="K498" s="75"/>
    </row>
    <row r="499" spans="1:12" ht="15.6" x14ac:dyDescent="0.3">
      <c r="A499" s="75">
        <v>41</v>
      </c>
      <c r="B499" s="377" t="s">
        <v>1522</v>
      </c>
      <c r="C499" s="75"/>
      <c r="D499" s="74">
        <v>10660</v>
      </c>
      <c r="E499" s="74">
        <v>1900</v>
      </c>
      <c r="F499" s="74">
        <v>2640</v>
      </c>
      <c r="G499" s="74">
        <v>6120</v>
      </c>
      <c r="H499" s="74"/>
      <c r="I499" s="74">
        <f t="shared" si="59"/>
        <v>10660</v>
      </c>
      <c r="J499" s="74">
        <f t="shared" si="60"/>
        <v>0</v>
      </c>
      <c r="K499" s="75" t="s">
        <v>1395</v>
      </c>
    </row>
    <row r="500" spans="1:12" ht="15.6" x14ac:dyDescent="0.3">
      <c r="A500" s="75">
        <v>42</v>
      </c>
      <c r="B500" s="377" t="s">
        <v>1691</v>
      </c>
      <c r="C500" s="74"/>
      <c r="D500" s="74">
        <v>10660</v>
      </c>
      <c r="E500" s="74">
        <v>1900</v>
      </c>
      <c r="F500" s="74">
        <v>2640</v>
      </c>
      <c r="G500" s="74">
        <v>2500</v>
      </c>
      <c r="H500" s="74"/>
      <c r="I500" s="74">
        <f t="shared" si="59"/>
        <v>7040</v>
      </c>
      <c r="J500" s="74">
        <f t="shared" si="60"/>
        <v>3620</v>
      </c>
      <c r="K500" s="75"/>
    </row>
    <row r="501" spans="1:12" ht="15.6" x14ac:dyDescent="0.3">
      <c r="A501" s="75">
        <v>43</v>
      </c>
      <c r="B501" s="377" t="s">
        <v>1692</v>
      </c>
      <c r="C501" s="75"/>
      <c r="D501" s="74">
        <v>10660</v>
      </c>
      <c r="E501" s="74">
        <v>1900</v>
      </c>
      <c r="F501" s="74">
        <v>2640</v>
      </c>
      <c r="G501" s="74">
        <v>3130</v>
      </c>
      <c r="H501" s="74"/>
      <c r="I501" s="74">
        <f t="shared" si="59"/>
        <v>7670</v>
      </c>
      <c r="J501" s="74">
        <f t="shared" si="60"/>
        <v>2990</v>
      </c>
      <c r="K501" s="75"/>
    </row>
    <row r="502" spans="1:12" ht="15.6" x14ac:dyDescent="0.3">
      <c r="A502" s="75">
        <v>44</v>
      </c>
      <c r="B502" s="377" t="s">
        <v>1693</v>
      </c>
      <c r="C502" s="75"/>
      <c r="D502" s="74">
        <v>10660</v>
      </c>
      <c r="E502" s="74">
        <v>1900</v>
      </c>
      <c r="F502" s="74">
        <v>2640</v>
      </c>
      <c r="G502" s="74">
        <v>1500</v>
      </c>
      <c r="H502" s="74">
        <v>2000</v>
      </c>
      <c r="I502" s="74">
        <f t="shared" si="59"/>
        <v>8040</v>
      </c>
      <c r="J502" s="74">
        <f t="shared" si="60"/>
        <v>2620</v>
      </c>
      <c r="K502" s="75"/>
    </row>
    <row r="503" spans="1:12" ht="15.6" x14ac:dyDescent="0.3">
      <c r="A503" s="75">
        <v>45</v>
      </c>
      <c r="B503" s="377" t="s">
        <v>1607</v>
      </c>
      <c r="C503" s="74"/>
      <c r="D503" s="74">
        <v>10660</v>
      </c>
      <c r="E503" s="74">
        <v>1900</v>
      </c>
      <c r="F503" s="74">
        <v>2640</v>
      </c>
      <c r="G503" s="74">
        <v>3600</v>
      </c>
      <c r="H503" s="74"/>
      <c r="I503" s="74">
        <f t="shared" si="59"/>
        <v>8140</v>
      </c>
      <c r="J503" s="74">
        <f t="shared" si="60"/>
        <v>2520</v>
      </c>
      <c r="K503" s="75"/>
    </row>
    <row r="504" spans="1:12" ht="15.6" x14ac:dyDescent="0.3">
      <c r="A504" s="75">
        <v>46</v>
      </c>
      <c r="B504" s="377" t="s">
        <v>1694</v>
      </c>
      <c r="C504" s="75"/>
      <c r="D504" s="74">
        <v>10660</v>
      </c>
      <c r="E504" s="74">
        <v>400</v>
      </c>
      <c r="F504" s="491">
        <v>1500</v>
      </c>
      <c r="G504" s="74">
        <v>2646</v>
      </c>
      <c r="H504" s="74">
        <v>6120</v>
      </c>
      <c r="I504" s="74">
        <f t="shared" si="59"/>
        <v>10666</v>
      </c>
      <c r="J504" s="74">
        <f t="shared" si="60"/>
        <v>-6</v>
      </c>
      <c r="K504" s="75" t="s">
        <v>1701</v>
      </c>
    </row>
    <row r="505" spans="1:12" ht="15.6" x14ac:dyDescent="0.3">
      <c r="A505" s="75">
        <v>47</v>
      </c>
      <c r="B505" s="377" t="s">
        <v>1695</v>
      </c>
      <c r="C505" s="75"/>
      <c r="D505" s="74">
        <v>10660</v>
      </c>
      <c r="E505" s="74">
        <v>1900</v>
      </c>
      <c r="F505" s="74">
        <v>1800</v>
      </c>
      <c r="G505" s="74">
        <v>2840</v>
      </c>
      <c r="H505" s="74"/>
      <c r="I505" s="74">
        <f t="shared" ref="I505:I506" si="61">E505+F505+G505+H505</f>
        <v>6540</v>
      </c>
      <c r="J505" s="74">
        <f t="shared" ref="J505:J507" si="62">D505-I505</f>
        <v>4120</v>
      </c>
      <c r="K505" s="75"/>
    </row>
    <row r="506" spans="1:12" ht="15.6" x14ac:dyDescent="0.3">
      <c r="A506" s="75">
        <v>48</v>
      </c>
      <c r="B506" s="75" t="s">
        <v>1519</v>
      </c>
      <c r="C506" s="75"/>
      <c r="D506" s="74">
        <v>10660</v>
      </c>
      <c r="E506" s="74">
        <v>1900</v>
      </c>
      <c r="F506" s="74">
        <v>2640</v>
      </c>
      <c r="G506" s="74">
        <v>3000</v>
      </c>
      <c r="H506" s="74"/>
      <c r="I506" s="74">
        <f t="shared" si="61"/>
        <v>7540</v>
      </c>
      <c r="J506" s="74">
        <f t="shared" si="62"/>
        <v>3120</v>
      </c>
      <c r="K506" s="75"/>
    </row>
    <row r="507" spans="1:12" ht="15.6" x14ac:dyDescent="0.3">
      <c r="A507" s="75">
        <v>49</v>
      </c>
      <c r="B507" s="377" t="s">
        <v>1605</v>
      </c>
      <c r="C507" s="271"/>
      <c r="D507" s="271">
        <v>10660</v>
      </c>
      <c r="E507" s="74">
        <v>1900</v>
      </c>
      <c r="F507" s="74">
        <v>2640</v>
      </c>
      <c r="G507" s="74">
        <v>3120</v>
      </c>
      <c r="H507" s="74"/>
      <c r="I507" s="74">
        <f t="shared" ref="I507:I521" si="63">E507+F507+G507+H507</f>
        <v>7660</v>
      </c>
      <c r="J507" s="74">
        <f t="shared" si="62"/>
        <v>3000</v>
      </c>
      <c r="K507" s="377"/>
      <c r="L507" s="492"/>
    </row>
    <row r="508" spans="1:12" ht="15.6" x14ac:dyDescent="0.3">
      <c r="A508" s="75">
        <v>50</v>
      </c>
      <c r="B508" s="543" t="s">
        <v>1614</v>
      </c>
      <c r="C508" s="271"/>
      <c r="D508" s="271">
        <v>10660</v>
      </c>
      <c r="E508" s="74">
        <v>1000</v>
      </c>
      <c r="F508" s="74">
        <v>900</v>
      </c>
      <c r="G508" s="74"/>
      <c r="H508" s="74"/>
      <c r="I508" s="74">
        <f t="shared" si="63"/>
        <v>1900</v>
      </c>
      <c r="J508" s="74">
        <f t="shared" ref="J508:J521" si="64">D508-I508</f>
        <v>8760</v>
      </c>
      <c r="K508" s="75"/>
    </row>
    <row r="509" spans="1:12" ht="15.6" x14ac:dyDescent="0.3">
      <c r="A509" s="75">
        <v>51</v>
      </c>
      <c r="B509" s="75" t="s">
        <v>1520</v>
      </c>
      <c r="C509" s="75"/>
      <c r="D509" s="74">
        <v>10660</v>
      </c>
      <c r="E509" s="74">
        <v>1900</v>
      </c>
      <c r="F509" s="74">
        <v>2040</v>
      </c>
      <c r="G509" s="74">
        <v>2640</v>
      </c>
      <c r="H509" s="74">
        <v>3720</v>
      </c>
      <c r="I509" s="74">
        <f t="shared" si="63"/>
        <v>10300</v>
      </c>
      <c r="J509" s="74">
        <f t="shared" si="64"/>
        <v>360</v>
      </c>
      <c r="K509" s="75"/>
      <c r="L509">
        <v>2040</v>
      </c>
    </row>
    <row r="510" spans="1:12" ht="15.6" x14ac:dyDescent="0.3">
      <c r="A510" s="75">
        <v>52</v>
      </c>
      <c r="B510" s="75" t="s">
        <v>1512</v>
      </c>
      <c r="C510" s="75"/>
      <c r="D510" s="74">
        <v>10660</v>
      </c>
      <c r="E510" s="74">
        <v>1900</v>
      </c>
      <c r="F510" s="74">
        <v>2640</v>
      </c>
      <c r="G510" s="74">
        <v>3000</v>
      </c>
      <c r="H510" s="74"/>
      <c r="I510" s="74">
        <f t="shared" si="63"/>
        <v>7540</v>
      </c>
      <c r="J510" s="74">
        <f t="shared" si="64"/>
        <v>3120</v>
      </c>
      <c r="K510" s="75"/>
    </row>
    <row r="511" spans="1:12" ht="15.6" x14ac:dyDescent="0.3">
      <c r="A511" s="75">
        <v>53</v>
      </c>
      <c r="B511" s="75" t="s">
        <v>1515</v>
      </c>
      <c r="C511" s="75"/>
      <c r="D511" s="74">
        <v>10660</v>
      </c>
      <c r="E511" s="74">
        <v>2000</v>
      </c>
      <c r="F511" s="74">
        <v>2540</v>
      </c>
      <c r="G511" s="74">
        <v>2000</v>
      </c>
      <c r="H511" s="74"/>
      <c r="I511" s="74">
        <f t="shared" si="63"/>
        <v>6540</v>
      </c>
      <c r="J511" s="74">
        <f t="shared" si="64"/>
        <v>4120</v>
      </c>
      <c r="K511" s="75"/>
    </row>
    <row r="512" spans="1:12" ht="15.6" x14ac:dyDescent="0.3">
      <c r="A512" s="75">
        <v>54</v>
      </c>
      <c r="B512" s="377" t="s">
        <v>1486</v>
      </c>
      <c r="C512" s="75"/>
      <c r="D512" s="74">
        <v>10660</v>
      </c>
      <c r="E512" s="74">
        <v>2040</v>
      </c>
      <c r="F512" s="74">
        <v>5000</v>
      </c>
      <c r="G512" s="74"/>
      <c r="H512" s="74"/>
      <c r="I512" s="74">
        <f t="shared" si="63"/>
        <v>7040</v>
      </c>
      <c r="J512" s="74">
        <f t="shared" si="64"/>
        <v>3620</v>
      </c>
      <c r="K512" s="75" t="s">
        <v>1395</v>
      </c>
    </row>
    <row r="513" spans="1:11" ht="15.6" x14ac:dyDescent="0.3">
      <c r="A513" s="75">
        <v>55</v>
      </c>
      <c r="B513" s="377" t="s">
        <v>1531</v>
      </c>
      <c r="C513" s="75"/>
      <c r="D513" s="74">
        <v>10660</v>
      </c>
      <c r="E513" s="74">
        <v>1900</v>
      </c>
      <c r="F513" s="74">
        <v>2640</v>
      </c>
      <c r="G513" s="74">
        <v>6120</v>
      </c>
      <c r="H513" s="74"/>
      <c r="I513" s="74">
        <f t="shared" si="63"/>
        <v>10660</v>
      </c>
      <c r="J513" s="74">
        <f t="shared" si="64"/>
        <v>0</v>
      </c>
      <c r="K513" s="75" t="s">
        <v>1395</v>
      </c>
    </row>
    <row r="514" spans="1:11" ht="15.6" x14ac:dyDescent="0.3">
      <c r="A514" s="75">
        <v>56</v>
      </c>
      <c r="B514" s="377" t="s">
        <v>1754</v>
      </c>
      <c r="C514" s="75"/>
      <c r="D514" s="74">
        <v>6120</v>
      </c>
      <c r="E514" s="74">
        <v>1900</v>
      </c>
      <c r="F514" s="74"/>
      <c r="G514" s="74"/>
      <c r="H514" s="74"/>
      <c r="I514" s="74">
        <f t="shared" si="63"/>
        <v>1900</v>
      </c>
      <c r="J514" s="74">
        <f t="shared" si="64"/>
        <v>4220</v>
      </c>
      <c r="K514" s="75"/>
    </row>
    <row r="515" spans="1:11" ht="15.6" x14ac:dyDescent="0.3">
      <c r="A515" s="75">
        <v>57</v>
      </c>
      <c r="B515" s="377" t="s">
        <v>1527</v>
      </c>
      <c r="C515" s="75"/>
      <c r="D515" s="74">
        <v>10660</v>
      </c>
      <c r="E515" s="74">
        <v>1900</v>
      </c>
      <c r="F515" s="74">
        <v>2640</v>
      </c>
      <c r="G515" s="74"/>
      <c r="H515" s="74"/>
      <c r="I515" s="74">
        <f t="shared" si="63"/>
        <v>4540</v>
      </c>
      <c r="J515" s="74">
        <f t="shared" si="64"/>
        <v>6120</v>
      </c>
      <c r="K515" s="75" t="s">
        <v>1748</v>
      </c>
    </row>
    <row r="516" spans="1:11" ht="15.6" x14ac:dyDescent="0.3">
      <c r="A516" s="75">
        <v>58</v>
      </c>
      <c r="B516" s="543" t="s">
        <v>1524</v>
      </c>
      <c r="C516" s="75"/>
      <c r="D516" s="74">
        <v>10660</v>
      </c>
      <c r="E516" s="74">
        <v>1900</v>
      </c>
      <c r="F516" s="74">
        <v>2640</v>
      </c>
      <c r="G516" s="74"/>
      <c r="H516" s="74"/>
      <c r="I516" s="74">
        <f t="shared" si="63"/>
        <v>4540</v>
      </c>
      <c r="J516" s="74">
        <f t="shared" si="64"/>
        <v>6120</v>
      </c>
      <c r="K516" s="75"/>
    </row>
    <row r="517" spans="1:11" ht="15.6" x14ac:dyDescent="0.3">
      <c r="A517" s="75">
        <v>59</v>
      </c>
      <c r="B517" s="377" t="s">
        <v>1673</v>
      </c>
      <c r="C517" s="74"/>
      <c r="D517" s="74">
        <v>10660</v>
      </c>
      <c r="E517" s="74">
        <v>1900</v>
      </c>
      <c r="F517" s="74">
        <v>2640</v>
      </c>
      <c r="G517" s="74">
        <v>2640</v>
      </c>
      <c r="H517" s="74"/>
      <c r="I517" s="74">
        <f t="shared" si="63"/>
        <v>7180</v>
      </c>
      <c r="J517" s="74">
        <f t="shared" si="64"/>
        <v>3480</v>
      </c>
      <c r="K517" s="75"/>
    </row>
    <row r="518" spans="1:11" ht="15.6" x14ac:dyDescent="0.3">
      <c r="A518" s="75">
        <v>60</v>
      </c>
      <c r="B518" s="543" t="s">
        <v>1554</v>
      </c>
      <c r="C518" s="74"/>
      <c r="D518" s="74">
        <v>10660</v>
      </c>
      <c r="E518" s="74">
        <v>1900</v>
      </c>
      <c r="F518" s="74"/>
      <c r="G518" s="74"/>
      <c r="H518" s="74"/>
      <c r="I518" s="74">
        <f t="shared" si="63"/>
        <v>1900</v>
      </c>
      <c r="J518" s="74">
        <f t="shared" si="64"/>
        <v>8760</v>
      </c>
      <c r="K518" s="75"/>
    </row>
    <row r="519" spans="1:11" ht="15.6" x14ac:dyDescent="0.3">
      <c r="A519" s="75">
        <v>61</v>
      </c>
      <c r="B519" s="544" t="s">
        <v>1540</v>
      </c>
      <c r="C519" s="74"/>
      <c r="D519" s="74">
        <v>10660</v>
      </c>
      <c r="E519" s="74">
        <v>1900</v>
      </c>
      <c r="F519" s="74">
        <v>2640</v>
      </c>
      <c r="G519" s="74"/>
      <c r="H519" s="74"/>
      <c r="I519" s="74">
        <f t="shared" si="63"/>
        <v>4540</v>
      </c>
      <c r="J519" s="74">
        <f t="shared" si="64"/>
        <v>6120</v>
      </c>
      <c r="K519" s="75" t="s">
        <v>1748</v>
      </c>
    </row>
    <row r="520" spans="1:11" ht="15.6" x14ac:dyDescent="0.3">
      <c r="A520" s="75">
        <v>62</v>
      </c>
      <c r="B520" s="377" t="s">
        <v>1544</v>
      </c>
      <c r="C520" s="74"/>
      <c r="D520" s="74">
        <v>10660</v>
      </c>
      <c r="E520" s="74">
        <v>1900</v>
      </c>
      <c r="F520" s="74">
        <v>2640</v>
      </c>
      <c r="G520" s="74"/>
      <c r="H520" s="74"/>
      <c r="I520" s="74">
        <f t="shared" si="63"/>
        <v>4540</v>
      </c>
      <c r="J520" s="74">
        <f t="shared" si="64"/>
        <v>6120</v>
      </c>
      <c r="K520" s="75" t="s">
        <v>1744</v>
      </c>
    </row>
    <row r="521" spans="1:11" ht="15.6" x14ac:dyDescent="0.3">
      <c r="A521" s="75">
        <v>63</v>
      </c>
      <c r="B521" s="545" t="s">
        <v>1703</v>
      </c>
      <c r="C521" s="74"/>
      <c r="D521" s="74">
        <v>10660</v>
      </c>
      <c r="E521" s="74">
        <v>1900</v>
      </c>
      <c r="F521" s="74"/>
      <c r="G521" s="74"/>
      <c r="H521" s="74"/>
      <c r="I521" s="74">
        <f t="shared" si="63"/>
        <v>1900</v>
      </c>
      <c r="J521" s="74">
        <f t="shared" si="64"/>
        <v>8760</v>
      </c>
      <c r="K521" s="75"/>
    </row>
    <row r="522" spans="1:11" ht="15.6" x14ac:dyDescent="0.3">
      <c r="A522" s="75">
        <v>64</v>
      </c>
      <c r="B522" s="543" t="s">
        <v>1696</v>
      </c>
      <c r="C522" s="74"/>
      <c r="D522" s="74">
        <v>10660</v>
      </c>
      <c r="E522" s="74">
        <v>1900</v>
      </c>
      <c r="F522" s="74"/>
      <c r="G522" s="74"/>
      <c r="H522" s="74"/>
      <c r="I522" s="74">
        <f t="shared" ref="I522" si="65">E522+F522+G522+H522</f>
        <v>1900</v>
      </c>
      <c r="J522" s="74">
        <f t="shared" ref="J522" si="66">D522-I522</f>
        <v>8760</v>
      </c>
      <c r="K522" s="75"/>
    </row>
    <row r="523" spans="1:11" ht="15.6" x14ac:dyDescent="0.3">
      <c r="A523" s="75">
        <v>65</v>
      </c>
      <c r="B523" s="377" t="s">
        <v>1577</v>
      </c>
      <c r="C523" s="74"/>
      <c r="D523" s="74">
        <v>10660</v>
      </c>
      <c r="E523" s="74">
        <v>1900</v>
      </c>
      <c r="F523" s="74">
        <v>2640</v>
      </c>
      <c r="G523" s="74">
        <v>2000</v>
      </c>
      <c r="H523" s="74"/>
      <c r="I523" s="74">
        <f t="shared" ref="I523:I528" si="67">E523+F523+G523+H523</f>
        <v>6540</v>
      </c>
      <c r="J523" s="74">
        <f t="shared" ref="J523:J528" si="68">D523-I523</f>
        <v>4120</v>
      </c>
      <c r="K523" s="75"/>
    </row>
    <row r="524" spans="1:11" ht="15.6" x14ac:dyDescent="0.3">
      <c r="A524" s="75">
        <v>66</v>
      </c>
      <c r="B524" s="377" t="s">
        <v>1525</v>
      </c>
      <c r="C524" s="75"/>
      <c r="D524" s="74">
        <v>10660</v>
      </c>
      <c r="E524" s="74">
        <v>1900</v>
      </c>
      <c r="F524" s="74">
        <v>2640</v>
      </c>
      <c r="G524" s="74">
        <v>4000</v>
      </c>
      <c r="H524" s="74"/>
      <c r="I524" s="74">
        <f t="shared" si="67"/>
        <v>8540</v>
      </c>
      <c r="J524" s="74">
        <f t="shared" si="68"/>
        <v>2120</v>
      </c>
      <c r="K524" s="75"/>
    </row>
    <row r="525" spans="1:11" ht="15.6" x14ac:dyDescent="0.3">
      <c r="A525" s="75">
        <v>67</v>
      </c>
      <c r="B525" s="543" t="s">
        <v>1679</v>
      </c>
      <c r="C525" s="75"/>
      <c r="D525" s="74">
        <v>10660</v>
      </c>
      <c r="E525" s="74">
        <v>1900</v>
      </c>
      <c r="F525" s="74"/>
      <c r="G525" s="74"/>
      <c r="H525" s="74"/>
      <c r="I525" s="74">
        <f t="shared" si="67"/>
        <v>1900</v>
      </c>
      <c r="J525" s="74">
        <f t="shared" si="68"/>
        <v>8760</v>
      </c>
      <c r="K525" s="75"/>
    </row>
    <row r="526" spans="1:11" ht="15.6" x14ac:dyDescent="0.3">
      <c r="A526" s="75">
        <v>68</v>
      </c>
      <c r="B526" s="377" t="s">
        <v>1526</v>
      </c>
      <c r="C526" s="75"/>
      <c r="D526" s="74">
        <v>10660</v>
      </c>
      <c r="E526" s="74">
        <v>1900</v>
      </c>
      <c r="F526" s="74">
        <v>2640</v>
      </c>
      <c r="G526" s="74">
        <v>6120</v>
      </c>
      <c r="H526" s="74"/>
      <c r="I526" s="74">
        <f t="shared" si="67"/>
        <v>10660</v>
      </c>
      <c r="J526" s="74">
        <f t="shared" si="68"/>
        <v>0</v>
      </c>
      <c r="K526" s="75"/>
    </row>
    <row r="527" spans="1:11" ht="15.6" x14ac:dyDescent="0.3">
      <c r="A527" s="75">
        <v>69</v>
      </c>
      <c r="B527" s="377" t="s">
        <v>1551</v>
      </c>
      <c r="C527" s="75"/>
      <c r="D527" s="74">
        <v>10660</v>
      </c>
      <c r="E527" s="74">
        <v>1900</v>
      </c>
      <c r="F527" s="74">
        <v>1540</v>
      </c>
      <c r="G527" s="74">
        <v>1100</v>
      </c>
      <c r="H527" s="74">
        <v>3000</v>
      </c>
      <c r="I527" s="74">
        <f t="shared" si="67"/>
        <v>7540</v>
      </c>
      <c r="J527" s="74">
        <f t="shared" si="68"/>
        <v>3120</v>
      </c>
      <c r="K527" s="75"/>
    </row>
    <row r="528" spans="1:11" ht="15.6" x14ac:dyDescent="0.3">
      <c r="A528" s="75">
        <v>70</v>
      </c>
      <c r="B528" s="377" t="s">
        <v>1533</v>
      </c>
      <c r="C528" s="75"/>
      <c r="D528" s="74">
        <v>10660</v>
      </c>
      <c r="E528" s="74">
        <v>1900</v>
      </c>
      <c r="F528" s="74">
        <v>2640</v>
      </c>
      <c r="G528" s="74">
        <v>3000</v>
      </c>
      <c r="H528" s="74"/>
      <c r="I528" s="74">
        <f t="shared" si="67"/>
        <v>7540</v>
      </c>
      <c r="J528" s="74">
        <f t="shared" si="68"/>
        <v>3120</v>
      </c>
      <c r="K528" s="75"/>
    </row>
    <row r="529" spans="1:12" ht="15.6" x14ac:dyDescent="0.3">
      <c r="A529" s="75">
        <v>71</v>
      </c>
      <c r="B529" s="377" t="s">
        <v>1697</v>
      </c>
      <c r="C529" s="75"/>
      <c r="D529" s="74">
        <v>10660</v>
      </c>
      <c r="E529" s="74">
        <v>1900</v>
      </c>
      <c r="F529" s="74">
        <v>1540</v>
      </c>
      <c r="G529" s="74">
        <v>1100</v>
      </c>
      <c r="H529" s="74">
        <v>6120</v>
      </c>
      <c r="I529" s="74">
        <f t="shared" ref="I529" si="69">E529+F529+G529+H529</f>
        <v>10660</v>
      </c>
      <c r="J529" s="74">
        <f t="shared" ref="J529" si="70">D529-I529</f>
        <v>0</v>
      </c>
      <c r="K529" s="75"/>
    </row>
    <row r="530" spans="1:12" ht="15.6" x14ac:dyDescent="0.3">
      <c r="A530" s="75">
        <v>72</v>
      </c>
      <c r="B530" s="377" t="s">
        <v>1546</v>
      </c>
      <c r="C530" s="74"/>
      <c r="D530" s="74">
        <v>10660</v>
      </c>
      <c r="E530" s="74">
        <v>1900</v>
      </c>
      <c r="F530" s="74">
        <v>6130</v>
      </c>
      <c r="G530" s="74"/>
      <c r="H530" s="74"/>
      <c r="I530" s="74">
        <f>E530+F530+G530+H530</f>
        <v>8030</v>
      </c>
      <c r="J530" s="74">
        <f>D530-I530</f>
        <v>2630</v>
      </c>
      <c r="K530" s="75"/>
    </row>
    <row r="531" spans="1:12" ht="15.6" x14ac:dyDescent="0.3">
      <c r="A531" s="75">
        <v>73</v>
      </c>
      <c r="B531" s="377" t="s">
        <v>1698</v>
      </c>
      <c r="C531" s="74"/>
      <c r="D531" s="74">
        <v>10660</v>
      </c>
      <c r="E531" s="74">
        <v>1500</v>
      </c>
      <c r="F531" s="74"/>
      <c r="G531" s="74"/>
      <c r="H531" s="74"/>
      <c r="I531" s="74">
        <f>E531+F531+G531+H531</f>
        <v>1500</v>
      </c>
      <c r="J531" s="74">
        <f>D531-I531</f>
        <v>9160</v>
      </c>
      <c r="K531" s="75" t="s">
        <v>1709</v>
      </c>
    </row>
    <row r="532" spans="1:12" ht="15.6" x14ac:dyDescent="0.3">
      <c r="A532" s="75">
        <v>74</v>
      </c>
      <c r="B532" s="377" t="s">
        <v>1699</v>
      </c>
      <c r="C532" s="74"/>
      <c r="D532" s="74">
        <v>10660</v>
      </c>
      <c r="E532" s="74"/>
      <c r="F532" s="74"/>
      <c r="G532" s="74"/>
      <c r="H532" s="74"/>
      <c r="I532" s="74">
        <f>E532+F532+G532+H532</f>
        <v>0</v>
      </c>
      <c r="J532" s="74">
        <f>D532-I532</f>
        <v>10660</v>
      </c>
      <c r="K532" s="75" t="s">
        <v>1709</v>
      </c>
    </row>
    <row r="533" spans="1:12" ht="15.6" x14ac:dyDescent="0.3">
      <c r="A533" s="43"/>
      <c r="B533" s="143"/>
      <c r="C533" s="42"/>
      <c r="D533" s="500">
        <f>SUM(D459:D532)</f>
        <v>784300</v>
      </c>
      <c r="E533" s="500">
        <f t="shared" ref="E533:J533" si="71">SUM(E459:E532)</f>
        <v>136860</v>
      </c>
      <c r="F533" s="500">
        <f t="shared" si="71"/>
        <v>156510</v>
      </c>
      <c r="G533" s="500">
        <f t="shared" si="71"/>
        <v>149546</v>
      </c>
      <c r="H533" s="500">
        <f t="shared" si="71"/>
        <v>41150</v>
      </c>
      <c r="I533" s="500">
        <f t="shared" si="71"/>
        <v>484066</v>
      </c>
      <c r="J533" s="500">
        <f t="shared" si="71"/>
        <v>300234</v>
      </c>
      <c r="K533" s="43"/>
    </row>
    <row r="534" spans="1:12" ht="15.6" x14ac:dyDescent="0.3">
      <c r="A534" s="43"/>
      <c r="B534" s="43"/>
      <c r="C534" s="43"/>
      <c r="D534" s="42"/>
      <c r="E534" s="42"/>
      <c r="F534" s="42"/>
      <c r="G534" s="42"/>
      <c r="H534" s="42"/>
      <c r="I534" s="42"/>
      <c r="J534" s="42"/>
      <c r="K534" s="43"/>
    </row>
    <row r="535" spans="1:12" ht="15.6" x14ac:dyDescent="0.3">
      <c r="A535" s="98" t="s">
        <v>1472</v>
      </c>
      <c r="B535" s="457"/>
      <c r="C535" s="74"/>
      <c r="D535" s="74"/>
      <c r="E535" s="74"/>
      <c r="F535" s="74"/>
      <c r="G535" s="74"/>
      <c r="H535" s="74"/>
      <c r="I535" s="74"/>
      <c r="J535" s="74"/>
      <c r="K535" s="75"/>
    </row>
    <row r="536" spans="1:12" ht="27.6" thickBot="1" x14ac:dyDescent="0.35">
      <c r="A536" s="321" t="s">
        <v>0</v>
      </c>
      <c r="B536" s="326" t="s">
        <v>1</v>
      </c>
      <c r="C536" s="321" t="s">
        <v>2</v>
      </c>
      <c r="D536" s="324" t="s">
        <v>854</v>
      </c>
      <c r="E536" s="521" t="s">
        <v>855</v>
      </c>
      <c r="F536" s="522"/>
      <c r="G536" s="522"/>
      <c r="H536" s="523"/>
      <c r="I536" s="520"/>
      <c r="J536" s="325" t="s">
        <v>856</v>
      </c>
      <c r="K536" s="326" t="s">
        <v>3</v>
      </c>
    </row>
    <row r="537" spans="1:12" ht="16.2" thickBot="1" x14ac:dyDescent="0.35">
      <c r="A537" s="17">
        <v>1</v>
      </c>
      <c r="B537" s="21" t="s">
        <v>760</v>
      </c>
      <c r="C537" s="30"/>
      <c r="D537" s="6">
        <v>6984</v>
      </c>
      <c r="E537" s="6">
        <v>1770</v>
      </c>
      <c r="F537" s="6"/>
      <c r="G537" s="6"/>
      <c r="H537" s="6"/>
      <c r="I537" s="6">
        <f t="shared" ref="I537:I568" si="72">SUM(E537:H537)</f>
        <v>1770</v>
      </c>
      <c r="J537" s="6">
        <f t="shared" ref="J537:J568" si="73">D537-E537-F537-G537-H537</f>
        <v>5214</v>
      </c>
      <c r="K537" s="6"/>
    </row>
    <row r="538" spans="1:12" ht="16.2" thickBot="1" x14ac:dyDescent="0.35">
      <c r="A538" s="17">
        <v>2</v>
      </c>
      <c r="B538" s="21" t="s">
        <v>785</v>
      </c>
      <c r="C538" s="28"/>
      <c r="D538" s="6">
        <v>6984</v>
      </c>
      <c r="E538" s="6">
        <v>4400</v>
      </c>
      <c r="F538" s="6"/>
      <c r="G538" s="6"/>
      <c r="H538" s="6"/>
      <c r="I538" s="6">
        <f t="shared" si="72"/>
        <v>4400</v>
      </c>
      <c r="J538" s="6">
        <f t="shared" si="73"/>
        <v>2584</v>
      </c>
      <c r="K538" s="6"/>
      <c r="L538" t="s">
        <v>1750</v>
      </c>
    </row>
    <row r="539" spans="1:12" ht="16.2" thickBot="1" x14ac:dyDescent="0.35">
      <c r="A539" s="17">
        <v>3</v>
      </c>
      <c r="B539" s="65" t="s">
        <v>769</v>
      </c>
      <c r="C539" s="28"/>
      <c r="D539" s="6">
        <v>6984</v>
      </c>
      <c r="E539" s="6"/>
      <c r="F539" s="6"/>
      <c r="G539" s="6"/>
      <c r="H539" s="6"/>
      <c r="I539" s="6">
        <f t="shared" si="72"/>
        <v>0</v>
      </c>
      <c r="J539" s="6">
        <f t="shared" si="73"/>
        <v>6984</v>
      </c>
      <c r="K539" s="6"/>
      <c r="L539">
        <v>2100</v>
      </c>
    </row>
    <row r="540" spans="1:12" ht="16.2" thickBot="1" x14ac:dyDescent="0.35">
      <c r="A540" s="17">
        <v>4</v>
      </c>
      <c r="B540" s="21" t="s">
        <v>758</v>
      </c>
      <c r="C540" s="28"/>
      <c r="D540" s="6">
        <v>6984</v>
      </c>
      <c r="E540" s="6">
        <v>2000</v>
      </c>
      <c r="F540" s="6"/>
      <c r="G540" s="6"/>
      <c r="H540" s="6"/>
      <c r="I540" s="6">
        <f t="shared" si="72"/>
        <v>2000</v>
      </c>
      <c r="J540" s="6">
        <f t="shared" si="73"/>
        <v>4984</v>
      </c>
      <c r="K540" s="6"/>
    </row>
    <row r="541" spans="1:12" ht="16.2" thickBot="1" x14ac:dyDescent="0.35">
      <c r="A541" s="17">
        <v>5</v>
      </c>
      <c r="B541" s="65" t="s">
        <v>762</v>
      </c>
      <c r="C541" s="30"/>
      <c r="D541" s="6">
        <v>6984</v>
      </c>
      <c r="E541" s="6"/>
      <c r="F541" s="6"/>
      <c r="G541" s="6"/>
      <c r="H541" s="6"/>
      <c r="I541" s="6">
        <f t="shared" si="72"/>
        <v>0</v>
      </c>
      <c r="J541" s="6">
        <f t="shared" si="73"/>
        <v>6984</v>
      </c>
      <c r="K541" s="6"/>
      <c r="L541">
        <v>1400</v>
      </c>
    </row>
    <row r="542" spans="1:12" ht="16.2" thickBot="1" x14ac:dyDescent="0.35">
      <c r="A542" s="17">
        <v>6</v>
      </c>
      <c r="B542" s="21" t="s">
        <v>766</v>
      </c>
      <c r="C542" s="30"/>
      <c r="D542" s="6">
        <v>6984</v>
      </c>
      <c r="E542" s="6">
        <v>3000</v>
      </c>
      <c r="F542" s="6"/>
      <c r="G542" s="6"/>
      <c r="H542" s="6"/>
      <c r="I542" s="6">
        <f t="shared" si="72"/>
        <v>3000</v>
      </c>
      <c r="J542" s="6">
        <f t="shared" si="73"/>
        <v>3984</v>
      </c>
      <c r="K542" s="6"/>
      <c r="L542" t="s">
        <v>1751</v>
      </c>
    </row>
    <row r="543" spans="1:12" ht="16.2" thickBot="1" x14ac:dyDescent="0.35">
      <c r="A543" s="17">
        <v>7</v>
      </c>
      <c r="B543" s="65" t="s">
        <v>747</v>
      </c>
      <c r="C543" s="28"/>
      <c r="D543" s="6">
        <v>6984</v>
      </c>
      <c r="E543" s="6"/>
      <c r="F543" s="6"/>
      <c r="G543" s="6"/>
      <c r="H543" s="6"/>
      <c r="I543" s="6">
        <f t="shared" si="72"/>
        <v>0</v>
      </c>
      <c r="J543" s="6">
        <f t="shared" si="73"/>
        <v>6984</v>
      </c>
      <c r="K543" s="6"/>
    </row>
    <row r="544" spans="1:12" ht="16.2" thickBot="1" x14ac:dyDescent="0.35">
      <c r="A544" s="17">
        <v>8</v>
      </c>
      <c r="B544" s="65" t="s">
        <v>761</v>
      </c>
      <c r="C544" s="28"/>
      <c r="D544" s="6">
        <v>6984</v>
      </c>
      <c r="E544" s="6"/>
      <c r="F544" s="6"/>
      <c r="G544" s="6"/>
      <c r="H544" s="6"/>
      <c r="I544" s="6">
        <f t="shared" si="72"/>
        <v>0</v>
      </c>
      <c r="J544" s="6">
        <f t="shared" si="73"/>
        <v>6984</v>
      </c>
      <c r="K544" s="6"/>
      <c r="L544">
        <v>5100</v>
      </c>
    </row>
    <row r="545" spans="1:12" ht="16.2" thickBot="1" x14ac:dyDescent="0.35">
      <c r="A545" s="17">
        <v>9</v>
      </c>
      <c r="B545" s="65" t="s">
        <v>737</v>
      </c>
      <c r="C545" s="28"/>
      <c r="D545" s="6">
        <v>6984</v>
      </c>
      <c r="E545" s="6"/>
      <c r="F545" s="6"/>
      <c r="G545" s="6"/>
      <c r="H545" s="6"/>
      <c r="I545" s="6">
        <f t="shared" si="72"/>
        <v>0</v>
      </c>
      <c r="J545" s="6">
        <f t="shared" si="73"/>
        <v>6984</v>
      </c>
      <c r="K545" s="6"/>
      <c r="L545">
        <v>600</v>
      </c>
    </row>
    <row r="546" spans="1:12" ht="16.2" thickBot="1" x14ac:dyDescent="0.35">
      <c r="A546" s="17">
        <v>10</v>
      </c>
      <c r="B546" s="21" t="s">
        <v>720</v>
      </c>
      <c r="C546" s="30"/>
      <c r="D546" s="6">
        <v>6984</v>
      </c>
      <c r="E546" s="6">
        <v>4000</v>
      </c>
      <c r="F546" s="6"/>
      <c r="G546" s="6"/>
      <c r="H546" s="6"/>
      <c r="I546" s="6">
        <f t="shared" si="72"/>
        <v>4000</v>
      </c>
      <c r="J546" s="6">
        <f t="shared" si="73"/>
        <v>2984</v>
      </c>
      <c r="K546" s="6"/>
    </row>
    <row r="547" spans="1:12" ht="16.2" thickBot="1" x14ac:dyDescent="0.35">
      <c r="A547" s="17">
        <v>11</v>
      </c>
      <c r="B547" s="65" t="s">
        <v>744</v>
      </c>
      <c r="C547" s="28"/>
      <c r="D547" s="6">
        <v>6984</v>
      </c>
      <c r="E547" s="6"/>
      <c r="F547" s="6"/>
      <c r="G547" s="6"/>
      <c r="H547" s="6"/>
      <c r="I547" s="6">
        <f t="shared" si="72"/>
        <v>0</v>
      </c>
      <c r="J547" s="6">
        <f t="shared" si="73"/>
        <v>6984</v>
      </c>
      <c r="K547" s="6"/>
      <c r="L547">
        <v>7340</v>
      </c>
    </row>
    <row r="548" spans="1:12" ht="16.2" thickBot="1" x14ac:dyDescent="0.35">
      <c r="A548" s="17">
        <v>12</v>
      </c>
      <c r="B548" s="65" t="s">
        <v>743</v>
      </c>
      <c r="C548" s="30"/>
      <c r="D548" s="6">
        <v>6984</v>
      </c>
      <c r="E548" s="6"/>
      <c r="F548" s="6"/>
      <c r="G548" s="6"/>
      <c r="H548" s="6"/>
      <c r="I548" s="6">
        <f t="shared" si="72"/>
        <v>0</v>
      </c>
      <c r="J548" s="6">
        <f t="shared" si="73"/>
        <v>6984</v>
      </c>
      <c r="K548" s="6"/>
      <c r="L548">
        <v>4900</v>
      </c>
    </row>
    <row r="549" spans="1:12" ht="16.2" thickBot="1" x14ac:dyDescent="0.35">
      <c r="A549" s="17">
        <v>13</v>
      </c>
      <c r="B549" s="21" t="s">
        <v>753</v>
      </c>
      <c r="C549" s="28"/>
      <c r="D549" s="6">
        <v>6984</v>
      </c>
      <c r="E549" s="6">
        <v>6000</v>
      </c>
      <c r="F549" s="6"/>
      <c r="G549" s="6"/>
      <c r="H549" s="6"/>
      <c r="I549" s="6">
        <f t="shared" si="72"/>
        <v>6000</v>
      </c>
      <c r="J549" s="6">
        <f t="shared" si="73"/>
        <v>984</v>
      </c>
      <c r="K549" s="6"/>
    </row>
    <row r="550" spans="1:12" ht="16.2" thickBot="1" x14ac:dyDescent="0.35">
      <c r="A550" s="17">
        <v>14</v>
      </c>
      <c r="B550" s="21" t="s">
        <v>746</v>
      </c>
      <c r="C550" s="30"/>
      <c r="D550" s="6">
        <v>6984</v>
      </c>
      <c r="E550" s="6">
        <v>2000</v>
      </c>
      <c r="F550" s="6">
        <v>2000</v>
      </c>
      <c r="G550" s="6"/>
      <c r="H550" s="6"/>
      <c r="I550" s="6">
        <f t="shared" si="72"/>
        <v>4000</v>
      </c>
      <c r="J550" s="6">
        <f t="shared" si="73"/>
        <v>2984</v>
      </c>
      <c r="K550" s="6"/>
      <c r="L550">
        <v>2100</v>
      </c>
    </row>
    <row r="551" spans="1:12" ht="16.2" thickBot="1" x14ac:dyDescent="0.35">
      <c r="A551" s="17">
        <v>15</v>
      </c>
      <c r="B551" s="21" t="s">
        <v>721</v>
      </c>
      <c r="C551" s="28"/>
      <c r="D551" s="6">
        <v>6984</v>
      </c>
      <c r="E551" s="6">
        <v>6000</v>
      </c>
      <c r="F551" s="6"/>
      <c r="G551" s="6"/>
      <c r="H551" s="6"/>
      <c r="I551" s="6">
        <f t="shared" si="72"/>
        <v>6000</v>
      </c>
      <c r="J551" s="6">
        <f t="shared" si="73"/>
        <v>984</v>
      </c>
      <c r="K551" s="6"/>
    </row>
    <row r="552" spans="1:12" ht="16.2" thickBot="1" x14ac:dyDescent="0.35">
      <c r="A552" s="17">
        <v>16</v>
      </c>
      <c r="B552" s="65" t="s">
        <v>719</v>
      </c>
      <c r="C552" s="28"/>
      <c r="D552" s="6">
        <v>6984</v>
      </c>
      <c r="E552" s="6"/>
      <c r="F552" s="6"/>
      <c r="G552" s="6"/>
      <c r="H552" s="6"/>
      <c r="I552" s="6">
        <f t="shared" si="72"/>
        <v>0</v>
      </c>
      <c r="J552" s="6">
        <f t="shared" si="73"/>
        <v>6984</v>
      </c>
      <c r="K552" s="6"/>
      <c r="L552">
        <v>5100</v>
      </c>
    </row>
    <row r="553" spans="1:12" ht="16.2" thickBot="1" x14ac:dyDescent="0.35">
      <c r="A553" s="17">
        <v>17</v>
      </c>
      <c r="B553" s="21" t="s">
        <v>722</v>
      </c>
      <c r="C553" s="28"/>
      <c r="D553" s="6">
        <v>6984</v>
      </c>
      <c r="E553" s="6"/>
      <c r="F553" s="6"/>
      <c r="G553" s="6"/>
      <c r="H553" s="6"/>
      <c r="I553" s="6">
        <f t="shared" si="72"/>
        <v>0</v>
      </c>
      <c r="J553" s="6">
        <f t="shared" si="73"/>
        <v>6984</v>
      </c>
      <c r="K553" s="6"/>
    </row>
    <row r="554" spans="1:12" ht="16.2" thickBot="1" x14ac:dyDescent="0.35">
      <c r="A554" s="17">
        <v>18</v>
      </c>
      <c r="B554" s="65" t="s">
        <v>740</v>
      </c>
      <c r="C554" s="30"/>
      <c r="D554" s="6">
        <v>6984</v>
      </c>
      <c r="E554" s="6"/>
      <c r="F554" s="6"/>
      <c r="G554" s="6"/>
      <c r="H554" s="6"/>
      <c r="I554" s="6">
        <f t="shared" si="72"/>
        <v>0</v>
      </c>
      <c r="J554" s="6">
        <f t="shared" si="73"/>
        <v>6984</v>
      </c>
      <c r="K554" s="6"/>
      <c r="L554" s="546" t="s">
        <v>1750</v>
      </c>
    </row>
    <row r="555" spans="1:12" ht="16.2" thickBot="1" x14ac:dyDescent="0.35">
      <c r="A555" s="17">
        <v>19</v>
      </c>
      <c r="B555" s="21" t="s">
        <v>778</v>
      </c>
      <c r="C555" s="30"/>
      <c r="D555" s="6">
        <v>6984</v>
      </c>
      <c r="E555" s="6">
        <v>2400</v>
      </c>
      <c r="F555" s="6"/>
      <c r="G555" s="6"/>
      <c r="H555" s="6"/>
      <c r="I555" s="6">
        <f t="shared" si="72"/>
        <v>2400</v>
      </c>
      <c r="J555" s="6">
        <f t="shared" si="73"/>
        <v>4584</v>
      </c>
      <c r="K555" s="6"/>
    </row>
    <row r="556" spans="1:12" ht="16.2" thickBot="1" x14ac:dyDescent="0.35">
      <c r="A556" s="17">
        <v>20</v>
      </c>
      <c r="B556" s="67" t="s">
        <v>775</v>
      </c>
      <c r="C556" s="68"/>
      <c r="D556" s="6">
        <v>6984</v>
      </c>
      <c r="E556" s="6">
        <v>2000</v>
      </c>
      <c r="F556" s="6">
        <v>1600</v>
      </c>
      <c r="G556" s="6"/>
      <c r="H556" s="6"/>
      <c r="I556" s="6">
        <f t="shared" si="72"/>
        <v>3600</v>
      </c>
      <c r="J556" s="6">
        <f t="shared" si="73"/>
        <v>3384</v>
      </c>
      <c r="K556" s="6"/>
    </row>
    <row r="557" spans="1:12" ht="16.2" thickBot="1" x14ac:dyDescent="0.35">
      <c r="A557" s="17">
        <v>21</v>
      </c>
      <c r="B557" s="21" t="s">
        <v>770</v>
      </c>
      <c r="C557" s="30"/>
      <c r="D557" s="6">
        <v>6984</v>
      </c>
      <c r="E557" s="6">
        <v>100</v>
      </c>
      <c r="F557" s="6"/>
      <c r="G557" s="6"/>
      <c r="H557" s="6"/>
      <c r="I557" s="6">
        <f t="shared" si="72"/>
        <v>100</v>
      </c>
      <c r="J557" s="6">
        <f t="shared" si="73"/>
        <v>6884</v>
      </c>
      <c r="K557" s="6"/>
      <c r="L557">
        <v>2100</v>
      </c>
    </row>
    <row r="558" spans="1:12" ht="16.2" thickBot="1" x14ac:dyDescent="0.35">
      <c r="A558" s="17">
        <v>22</v>
      </c>
      <c r="B558" s="21" t="s">
        <v>751</v>
      </c>
      <c r="C558" s="28"/>
      <c r="D558" s="6">
        <v>6984</v>
      </c>
      <c r="E558" s="6">
        <v>2000</v>
      </c>
      <c r="F558" s="6"/>
      <c r="G558" s="6"/>
      <c r="H558" s="6"/>
      <c r="I558" s="6">
        <f t="shared" si="72"/>
        <v>2000</v>
      </c>
      <c r="J558" s="6">
        <f t="shared" si="73"/>
        <v>4984</v>
      </c>
      <c r="K558" s="6"/>
    </row>
    <row r="559" spans="1:12" ht="16.2" thickBot="1" x14ac:dyDescent="0.35">
      <c r="A559" s="17">
        <v>23</v>
      </c>
      <c r="B559" s="21" t="s">
        <v>727</v>
      </c>
      <c r="C559" s="28"/>
      <c r="D559" s="6">
        <v>6984</v>
      </c>
      <c r="E559" s="6">
        <v>1000</v>
      </c>
      <c r="F559" s="6">
        <v>1000</v>
      </c>
      <c r="G559" s="6"/>
      <c r="H559" s="6"/>
      <c r="I559" s="6">
        <f t="shared" si="72"/>
        <v>2000</v>
      </c>
      <c r="J559" s="6">
        <f t="shared" si="73"/>
        <v>4984</v>
      </c>
      <c r="K559" s="6"/>
    </row>
    <row r="560" spans="1:12" ht="16.2" thickBot="1" x14ac:dyDescent="0.35">
      <c r="A560" s="17">
        <v>24</v>
      </c>
      <c r="B560" s="65" t="s">
        <v>776</v>
      </c>
      <c r="C560" s="30"/>
      <c r="D560" s="6">
        <v>6984</v>
      </c>
      <c r="E560" s="6"/>
      <c r="F560" s="6"/>
      <c r="G560" s="6"/>
      <c r="H560" s="6"/>
      <c r="I560" s="6">
        <f t="shared" si="72"/>
        <v>0</v>
      </c>
      <c r="J560" s="6">
        <f t="shared" si="73"/>
        <v>6984</v>
      </c>
      <c r="K560" s="6"/>
      <c r="L560">
        <v>4340</v>
      </c>
    </row>
    <row r="561" spans="1:12" ht="16.2" thickBot="1" x14ac:dyDescent="0.35">
      <c r="A561" s="17">
        <v>25</v>
      </c>
      <c r="B561" s="21" t="s">
        <v>777</v>
      </c>
      <c r="C561" s="28"/>
      <c r="D561" s="6">
        <v>6984</v>
      </c>
      <c r="E561" s="6">
        <v>1500</v>
      </c>
      <c r="F561" s="6"/>
      <c r="G561" s="6"/>
      <c r="H561" s="6"/>
      <c r="I561" s="6">
        <f t="shared" si="72"/>
        <v>1500</v>
      </c>
      <c r="J561" s="6">
        <f t="shared" si="73"/>
        <v>5484</v>
      </c>
      <c r="K561" s="6"/>
    </row>
    <row r="562" spans="1:12" ht="16.2" thickBot="1" x14ac:dyDescent="0.35">
      <c r="A562" s="17">
        <v>26</v>
      </c>
      <c r="B562" s="21" t="s">
        <v>752</v>
      </c>
      <c r="C562" s="28"/>
      <c r="D562" s="6">
        <v>6984</v>
      </c>
      <c r="E562" s="6"/>
      <c r="F562" s="6"/>
      <c r="G562" s="6"/>
      <c r="H562" s="6"/>
      <c r="I562" s="6">
        <f t="shared" si="72"/>
        <v>0</v>
      </c>
      <c r="J562" s="6">
        <f t="shared" si="73"/>
        <v>6984</v>
      </c>
      <c r="K562" s="6"/>
      <c r="L562">
        <v>2000</v>
      </c>
    </row>
    <row r="563" spans="1:12" ht="16.2" thickBot="1" x14ac:dyDescent="0.35">
      <c r="A563" s="17">
        <v>27</v>
      </c>
      <c r="B563" s="21" t="s">
        <v>767</v>
      </c>
      <c r="C563" s="28"/>
      <c r="D563" s="6">
        <v>6984</v>
      </c>
      <c r="E563" s="6">
        <v>560</v>
      </c>
      <c r="F563" s="6"/>
      <c r="G563" s="6"/>
      <c r="H563" s="6"/>
      <c r="I563" s="6">
        <f t="shared" si="72"/>
        <v>560</v>
      </c>
      <c r="J563" s="6">
        <f t="shared" si="73"/>
        <v>6424</v>
      </c>
      <c r="K563" s="6"/>
    </row>
    <row r="564" spans="1:12" ht="16.2" thickBot="1" x14ac:dyDescent="0.35">
      <c r="A564" s="17">
        <v>28</v>
      </c>
      <c r="B564" s="21" t="s">
        <v>754</v>
      </c>
      <c r="C564" s="30"/>
      <c r="D564" s="6">
        <v>6984</v>
      </c>
      <c r="E564" s="6">
        <v>3000</v>
      </c>
      <c r="F564" s="6"/>
      <c r="G564" s="6"/>
      <c r="H564" s="6"/>
      <c r="I564" s="6">
        <f t="shared" si="72"/>
        <v>3000</v>
      </c>
      <c r="J564" s="6">
        <f t="shared" si="73"/>
        <v>3984</v>
      </c>
      <c r="K564" s="6"/>
    </row>
    <row r="565" spans="1:12" ht="16.2" thickBot="1" x14ac:dyDescent="0.35">
      <c r="A565" s="17">
        <v>29</v>
      </c>
      <c r="B565" s="65" t="s">
        <v>724</v>
      </c>
      <c r="C565" s="28"/>
      <c r="D565" s="6">
        <v>6984</v>
      </c>
      <c r="E565" s="6"/>
      <c r="F565" s="6"/>
      <c r="G565" s="6"/>
      <c r="H565" s="6"/>
      <c r="I565" s="6">
        <f t="shared" si="72"/>
        <v>0</v>
      </c>
      <c r="J565" s="6">
        <f t="shared" si="73"/>
        <v>6984</v>
      </c>
      <c r="K565" s="6"/>
      <c r="L565">
        <v>3200</v>
      </c>
    </row>
    <row r="566" spans="1:12" ht="16.2" thickBot="1" x14ac:dyDescent="0.35">
      <c r="A566" s="17">
        <v>30</v>
      </c>
      <c r="B566" s="65" t="s">
        <v>741</v>
      </c>
      <c r="C566" s="30"/>
      <c r="D566" s="6">
        <v>6984</v>
      </c>
      <c r="E566" s="6"/>
      <c r="F566" s="6"/>
      <c r="G566" s="6"/>
      <c r="H566" s="6"/>
      <c r="I566" s="6">
        <f t="shared" si="72"/>
        <v>0</v>
      </c>
      <c r="J566" s="6">
        <f t="shared" si="73"/>
        <v>6984</v>
      </c>
      <c r="K566" s="6"/>
    </row>
    <row r="567" spans="1:12" ht="16.2" thickBot="1" x14ac:dyDescent="0.35">
      <c r="A567" s="17">
        <v>31</v>
      </c>
      <c r="B567" s="65" t="s">
        <v>768</v>
      </c>
      <c r="C567" s="28"/>
      <c r="D567" s="6">
        <v>6984</v>
      </c>
      <c r="E567" s="6"/>
      <c r="F567" s="6"/>
      <c r="G567" s="6"/>
      <c r="H567" s="6"/>
      <c r="I567" s="6">
        <f t="shared" si="72"/>
        <v>0</v>
      </c>
      <c r="J567" s="6">
        <f t="shared" si="73"/>
        <v>6984</v>
      </c>
      <c r="K567" s="6"/>
      <c r="L567">
        <v>3040</v>
      </c>
    </row>
    <row r="568" spans="1:12" ht="16.2" thickBot="1" x14ac:dyDescent="0.35">
      <c r="A568" s="17">
        <v>32</v>
      </c>
      <c r="B568" s="65" t="s">
        <v>732</v>
      </c>
      <c r="C568" s="28"/>
      <c r="D568" s="6">
        <v>6984</v>
      </c>
      <c r="E568" s="6"/>
      <c r="F568" s="6"/>
      <c r="G568" s="6"/>
      <c r="H568" s="6"/>
      <c r="I568" s="6">
        <f t="shared" si="72"/>
        <v>0</v>
      </c>
      <c r="J568" s="6">
        <f t="shared" si="73"/>
        <v>6984</v>
      </c>
      <c r="K568" s="6"/>
      <c r="L568">
        <v>2600</v>
      </c>
    </row>
    <row r="569" spans="1:12" ht="16.2" thickBot="1" x14ac:dyDescent="0.35">
      <c r="A569" s="17">
        <v>33</v>
      </c>
      <c r="B569" s="21" t="s">
        <v>726</v>
      </c>
      <c r="C569" s="28"/>
      <c r="D569" s="6">
        <v>6984</v>
      </c>
      <c r="E569" s="6">
        <v>6984</v>
      </c>
      <c r="F569" s="6"/>
      <c r="G569" s="6"/>
      <c r="H569" s="6"/>
      <c r="I569" s="6">
        <f t="shared" ref="I569:I598" si="74">SUM(E569:H569)</f>
        <v>6984</v>
      </c>
      <c r="J569" s="6">
        <f t="shared" ref="J569:J598" si="75">D569-E569-F569-G569-H569</f>
        <v>0</v>
      </c>
      <c r="K569" s="6"/>
    </row>
    <row r="570" spans="1:12" ht="16.2" thickBot="1" x14ac:dyDescent="0.35">
      <c r="A570" s="17">
        <v>34</v>
      </c>
      <c r="B570" s="21" t="s">
        <v>745</v>
      </c>
      <c r="C570" s="30"/>
      <c r="D570" s="6">
        <v>6984</v>
      </c>
      <c r="E570" s="6">
        <v>3000</v>
      </c>
      <c r="F570" s="6"/>
      <c r="G570" s="6"/>
      <c r="H570" s="6"/>
      <c r="I570" s="6">
        <f t="shared" si="74"/>
        <v>3000</v>
      </c>
      <c r="J570" s="6">
        <f t="shared" si="75"/>
        <v>3984</v>
      </c>
      <c r="K570" s="6"/>
    </row>
    <row r="571" spans="1:12" ht="16.2" thickBot="1" x14ac:dyDescent="0.35">
      <c r="A571" s="17">
        <v>35</v>
      </c>
      <c r="B571" s="21" t="s">
        <v>763</v>
      </c>
      <c r="C571" s="28"/>
      <c r="D571" s="6">
        <v>6984</v>
      </c>
      <c r="E571" s="6">
        <v>3960</v>
      </c>
      <c r="F571" s="6">
        <v>1000</v>
      </c>
      <c r="G571" s="6"/>
      <c r="H571" s="6"/>
      <c r="I571" s="6">
        <f t="shared" si="74"/>
        <v>4960</v>
      </c>
      <c r="J571" s="6">
        <f t="shared" si="75"/>
        <v>2024</v>
      </c>
      <c r="K571" s="6"/>
    </row>
    <row r="572" spans="1:12" ht="16.2" thickBot="1" x14ac:dyDescent="0.35">
      <c r="A572" s="17">
        <v>36</v>
      </c>
      <c r="B572" s="21" t="s">
        <v>774</v>
      </c>
      <c r="C572" s="30"/>
      <c r="D572" s="6">
        <v>6984</v>
      </c>
      <c r="E572" s="6">
        <v>3260</v>
      </c>
      <c r="F572" s="6"/>
      <c r="G572" s="6"/>
      <c r="H572" s="6"/>
      <c r="I572" s="6">
        <f t="shared" si="74"/>
        <v>3260</v>
      </c>
      <c r="J572" s="6">
        <f t="shared" si="75"/>
        <v>3724</v>
      </c>
      <c r="K572" s="6"/>
    </row>
    <row r="573" spans="1:12" ht="16.2" thickBot="1" x14ac:dyDescent="0.35">
      <c r="A573" s="17">
        <v>37</v>
      </c>
      <c r="B573" s="21" t="s">
        <v>734</v>
      </c>
      <c r="C573" s="28"/>
      <c r="D573" s="6">
        <v>6984</v>
      </c>
      <c r="E573" s="6">
        <v>2510</v>
      </c>
      <c r="F573" s="6"/>
      <c r="G573" s="6"/>
      <c r="H573" s="6"/>
      <c r="I573" s="6">
        <f t="shared" si="74"/>
        <v>2510</v>
      </c>
      <c r="J573" s="6">
        <f t="shared" si="75"/>
        <v>4474</v>
      </c>
      <c r="K573" s="6"/>
    </row>
    <row r="574" spans="1:12" ht="16.2" thickBot="1" x14ac:dyDescent="0.35">
      <c r="A574" s="17">
        <v>38</v>
      </c>
      <c r="B574" s="21" t="s">
        <v>718</v>
      </c>
      <c r="C574" s="30"/>
      <c r="D574" s="6">
        <v>6984</v>
      </c>
      <c r="E574" s="6">
        <v>6000</v>
      </c>
      <c r="F574" s="6"/>
      <c r="G574" s="6"/>
      <c r="H574" s="6"/>
      <c r="I574" s="6">
        <f t="shared" si="74"/>
        <v>6000</v>
      </c>
      <c r="J574" s="6">
        <f t="shared" si="75"/>
        <v>984</v>
      </c>
      <c r="K574" s="6"/>
    </row>
    <row r="575" spans="1:12" ht="16.2" thickBot="1" x14ac:dyDescent="0.35">
      <c r="A575" s="17">
        <v>39</v>
      </c>
      <c r="B575" s="65" t="s">
        <v>735</v>
      </c>
      <c r="C575" s="28"/>
      <c r="D575" s="6">
        <v>6984</v>
      </c>
      <c r="E575" s="6"/>
      <c r="F575" s="6"/>
      <c r="G575" s="6"/>
      <c r="H575" s="6"/>
      <c r="I575" s="6">
        <f t="shared" si="74"/>
        <v>0</v>
      </c>
      <c r="J575" s="6">
        <f t="shared" si="75"/>
        <v>6984</v>
      </c>
      <c r="K575" s="6"/>
    </row>
    <row r="576" spans="1:12" ht="16.2" thickBot="1" x14ac:dyDescent="0.35">
      <c r="A576" s="17">
        <v>40</v>
      </c>
      <c r="B576" s="21" t="s">
        <v>784</v>
      </c>
      <c r="C576" s="30"/>
      <c r="D576" s="6">
        <v>6984</v>
      </c>
      <c r="E576" s="6">
        <v>4000</v>
      </c>
      <c r="F576" s="6">
        <v>400</v>
      </c>
      <c r="G576" s="6"/>
      <c r="H576" s="6"/>
      <c r="I576" s="6">
        <f t="shared" si="74"/>
        <v>4400</v>
      </c>
      <c r="J576" s="6">
        <f t="shared" si="75"/>
        <v>2584</v>
      </c>
      <c r="K576" s="6" t="s">
        <v>1727</v>
      </c>
    </row>
    <row r="577" spans="1:13" ht="16.2" thickBot="1" x14ac:dyDescent="0.35">
      <c r="A577" s="17">
        <v>41</v>
      </c>
      <c r="B577" s="65" t="s">
        <v>759</v>
      </c>
      <c r="C577" s="28"/>
      <c r="D577" s="6">
        <v>6984</v>
      </c>
      <c r="E577" s="6"/>
      <c r="F577" s="6"/>
      <c r="G577" s="6"/>
      <c r="H577" s="6"/>
      <c r="I577" s="6">
        <f t="shared" si="74"/>
        <v>0</v>
      </c>
      <c r="J577" s="6">
        <f t="shared" si="75"/>
        <v>6984</v>
      </c>
      <c r="K577" s="6"/>
    </row>
    <row r="578" spans="1:13" ht="16.2" thickBot="1" x14ac:dyDescent="0.35">
      <c r="A578" s="17">
        <v>42</v>
      </c>
      <c r="B578" s="21" t="s">
        <v>764</v>
      </c>
      <c r="C578" s="30"/>
      <c r="D578" s="6">
        <v>6984</v>
      </c>
      <c r="E578" s="6"/>
      <c r="F578" s="6"/>
      <c r="G578" s="6"/>
      <c r="H578" s="6"/>
      <c r="I578" s="6">
        <f t="shared" si="74"/>
        <v>0</v>
      </c>
      <c r="J578" s="6">
        <f t="shared" si="75"/>
        <v>6984</v>
      </c>
      <c r="K578" s="6" t="s">
        <v>1752</v>
      </c>
      <c r="L578">
        <v>40</v>
      </c>
    </row>
    <row r="579" spans="1:13" ht="16.2" thickBot="1" x14ac:dyDescent="0.35">
      <c r="A579" s="17">
        <v>43</v>
      </c>
      <c r="B579" s="65" t="s">
        <v>738</v>
      </c>
      <c r="C579" s="30"/>
      <c r="D579" s="6">
        <v>6984</v>
      </c>
      <c r="E579" s="6"/>
      <c r="F579" s="6"/>
      <c r="G579" s="6"/>
      <c r="H579" s="6"/>
      <c r="I579" s="6">
        <f t="shared" si="74"/>
        <v>0</v>
      </c>
      <c r="J579" s="6">
        <f t="shared" si="75"/>
        <v>6984</v>
      </c>
      <c r="K579" s="6"/>
      <c r="L579">
        <v>2540</v>
      </c>
    </row>
    <row r="580" spans="1:13" ht="16.2" thickBot="1" x14ac:dyDescent="0.35">
      <c r="A580" s="17">
        <v>44</v>
      </c>
      <c r="B580" s="21" t="s">
        <v>730</v>
      </c>
      <c r="C580" s="30"/>
      <c r="D580" s="6">
        <v>6984</v>
      </c>
      <c r="E580" s="6">
        <v>900</v>
      </c>
      <c r="F580" s="6"/>
      <c r="G580" s="6"/>
      <c r="H580" s="6"/>
      <c r="I580" s="6">
        <f t="shared" si="74"/>
        <v>900</v>
      </c>
      <c r="J580" s="6">
        <f t="shared" si="75"/>
        <v>6084</v>
      </c>
      <c r="K580" s="6"/>
      <c r="L580" s="547">
        <f>60%*D580</f>
        <v>4190.3999999999996</v>
      </c>
    </row>
    <row r="581" spans="1:13" ht="16.2" thickBot="1" x14ac:dyDescent="0.35">
      <c r="A581" s="17">
        <v>45</v>
      </c>
      <c r="B581" s="21" t="s">
        <v>728</v>
      </c>
      <c r="C581" s="30"/>
      <c r="D581" s="6">
        <v>6984</v>
      </c>
      <c r="E581" s="6">
        <v>3400</v>
      </c>
      <c r="F581" s="6"/>
      <c r="G581" s="6"/>
      <c r="H581" s="6"/>
      <c r="I581" s="6">
        <f t="shared" si="74"/>
        <v>3400</v>
      </c>
      <c r="J581" s="6">
        <f t="shared" si="75"/>
        <v>3584</v>
      </c>
      <c r="K581" s="6"/>
      <c r="L581" s="547">
        <v>2100</v>
      </c>
    </row>
    <row r="582" spans="1:13" ht="16.2" thickBot="1" x14ac:dyDescent="0.35">
      <c r="A582" s="17">
        <v>46</v>
      </c>
      <c r="B582" s="21" t="s">
        <v>731</v>
      </c>
      <c r="C582" s="30"/>
      <c r="D582" s="6">
        <v>6984</v>
      </c>
      <c r="E582" s="6">
        <v>1530</v>
      </c>
      <c r="F582" s="6"/>
      <c r="G582" s="6"/>
      <c r="H582" s="6"/>
      <c r="I582" s="6">
        <f t="shared" si="74"/>
        <v>1530</v>
      </c>
      <c r="J582" s="6">
        <f t="shared" si="75"/>
        <v>5454</v>
      </c>
      <c r="K582" s="6"/>
    </row>
    <row r="583" spans="1:13" ht="16.8" thickTop="1" thickBot="1" x14ac:dyDescent="0.35">
      <c r="A583" s="17">
        <v>47</v>
      </c>
      <c r="B583" s="44" t="s">
        <v>736</v>
      </c>
      <c r="C583" s="46"/>
      <c r="D583" s="6">
        <v>6984</v>
      </c>
      <c r="E583" s="6">
        <v>3554</v>
      </c>
      <c r="F583" s="6"/>
      <c r="G583" s="6"/>
      <c r="H583" s="6"/>
      <c r="I583" s="6">
        <f t="shared" si="74"/>
        <v>3554</v>
      </c>
      <c r="J583" s="6">
        <f t="shared" si="75"/>
        <v>3430</v>
      </c>
      <c r="K583" s="6"/>
    </row>
    <row r="584" spans="1:13" ht="16.8" thickTop="1" thickBot="1" x14ac:dyDescent="0.35">
      <c r="A584" s="17">
        <v>48</v>
      </c>
      <c r="B584" s="44" t="s">
        <v>772</v>
      </c>
      <c r="C584" s="36"/>
      <c r="D584" s="6">
        <v>6984</v>
      </c>
      <c r="E584" s="6"/>
      <c r="F584" s="6"/>
      <c r="G584" s="6"/>
      <c r="H584" s="6"/>
      <c r="I584" s="6">
        <f t="shared" si="74"/>
        <v>0</v>
      </c>
      <c r="J584" s="6">
        <f t="shared" si="75"/>
        <v>6984</v>
      </c>
      <c r="K584" s="6"/>
      <c r="L584">
        <v>1240</v>
      </c>
    </row>
    <row r="585" spans="1:13" ht="16.8" thickTop="1" thickBot="1" x14ac:dyDescent="0.35">
      <c r="A585" s="17">
        <v>49</v>
      </c>
      <c r="B585" s="44" t="s">
        <v>765</v>
      </c>
      <c r="C585" s="46"/>
      <c r="D585" s="6">
        <v>6984</v>
      </c>
      <c r="E585" s="6">
        <v>2000</v>
      </c>
      <c r="F585" s="6">
        <v>1000</v>
      </c>
      <c r="G585" s="6"/>
      <c r="H585" s="6"/>
      <c r="I585" s="6">
        <f t="shared" si="74"/>
        <v>3000</v>
      </c>
      <c r="J585" s="6">
        <f t="shared" si="75"/>
        <v>3984</v>
      </c>
      <c r="K585" s="6"/>
    </row>
    <row r="586" spans="1:13" ht="16.8" thickTop="1" thickBot="1" x14ac:dyDescent="0.35">
      <c r="A586" s="17">
        <v>50</v>
      </c>
      <c r="B586" s="66" t="s">
        <v>742</v>
      </c>
      <c r="C586" s="46"/>
      <c r="D586" s="6">
        <v>6984</v>
      </c>
      <c r="E586" s="6"/>
      <c r="F586" s="6"/>
      <c r="G586" s="6"/>
      <c r="H586" s="6"/>
      <c r="I586" s="6">
        <f t="shared" si="74"/>
        <v>0</v>
      </c>
      <c r="J586" s="6">
        <f t="shared" si="75"/>
        <v>6984</v>
      </c>
      <c r="K586" s="6"/>
      <c r="L586" t="s">
        <v>1725</v>
      </c>
      <c r="M586">
        <v>2100</v>
      </c>
    </row>
    <row r="587" spans="1:13" ht="16.8" thickTop="1" thickBot="1" x14ac:dyDescent="0.35">
      <c r="A587" s="17">
        <v>51</v>
      </c>
      <c r="B587" s="44" t="s">
        <v>771</v>
      </c>
      <c r="C587" s="36"/>
      <c r="D587" s="6">
        <v>6984</v>
      </c>
      <c r="E587" s="6">
        <v>1900</v>
      </c>
      <c r="F587" s="6"/>
      <c r="G587" s="6"/>
      <c r="H587" s="6"/>
      <c r="I587" s="6">
        <f t="shared" si="74"/>
        <v>1900</v>
      </c>
      <c r="J587" s="6">
        <f t="shared" si="75"/>
        <v>5084</v>
      </c>
      <c r="K587" s="6"/>
    </row>
    <row r="588" spans="1:13" ht="16.8" thickTop="1" thickBot="1" x14ac:dyDescent="0.35">
      <c r="A588" s="17">
        <v>52</v>
      </c>
      <c r="B588" s="66" t="s">
        <v>748</v>
      </c>
      <c r="C588" s="36"/>
      <c r="D588" s="6">
        <v>6984</v>
      </c>
      <c r="E588" s="6"/>
      <c r="F588" s="6"/>
      <c r="G588" s="6"/>
      <c r="H588" s="6"/>
      <c r="I588" s="6">
        <f t="shared" si="74"/>
        <v>0</v>
      </c>
      <c r="J588" s="6">
        <f t="shared" si="75"/>
        <v>6984</v>
      </c>
      <c r="K588" s="6"/>
    </row>
    <row r="589" spans="1:13" ht="16.8" thickTop="1" thickBot="1" x14ac:dyDescent="0.35">
      <c r="A589" s="17">
        <v>53</v>
      </c>
      <c r="B589" s="66" t="s">
        <v>733</v>
      </c>
      <c r="C589" s="46"/>
      <c r="D589" s="6">
        <v>6984</v>
      </c>
      <c r="E589" s="6"/>
      <c r="F589" s="6"/>
      <c r="G589" s="6"/>
      <c r="H589" s="6"/>
      <c r="I589" s="6">
        <f t="shared" si="74"/>
        <v>0</v>
      </c>
      <c r="J589" s="6">
        <f t="shared" si="75"/>
        <v>6984</v>
      </c>
      <c r="K589" s="6"/>
      <c r="L589">
        <v>5100</v>
      </c>
    </row>
    <row r="590" spans="1:13" ht="16.8" thickTop="1" thickBot="1" x14ac:dyDescent="0.35">
      <c r="A590" s="17">
        <v>54</v>
      </c>
      <c r="B590" s="66" t="s">
        <v>729</v>
      </c>
      <c r="C590" s="36"/>
      <c r="D590" s="6">
        <v>6984</v>
      </c>
      <c r="E590" s="6"/>
      <c r="F590" s="6"/>
      <c r="G590" s="6"/>
      <c r="H590" s="6"/>
      <c r="I590" s="6">
        <f t="shared" si="74"/>
        <v>0</v>
      </c>
      <c r="J590" s="6">
        <f t="shared" si="75"/>
        <v>6984</v>
      </c>
      <c r="K590" s="6"/>
      <c r="L590">
        <v>4540</v>
      </c>
    </row>
    <row r="591" spans="1:13" ht="16.8" thickTop="1" thickBot="1" x14ac:dyDescent="0.35">
      <c r="A591" s="17">
        <v>55</v>
      </c>
      <c r="B591" s="44" t="s">
        <v>750</v>
      </c>
      <c r="C591" s="36">
        <v>3278</v>
      </c>
      <c r="D591" s="6">
        <v>6984</v>
      </c>
      <c r="E591" s="6">
        <v>3500</v>
      </c>
      <c r="F591" s="6"/>
      <c r="G591" s="6"/>
      <c r="H591" s="6"/>
      <c r="I591" s="6">
        <f t="shared" si="74"/>
        <v>3500</v>
      </c>
      <c r="J591" s="6">
        <f t="shared" si="75"/>
        <v>3484</v>
      </c>
      <c r="K591" s="6"/>
    </row>
    <row r="592" spans="1:13" ht="16.8" thickTop="1" thickBot="1" x14ac:dyDescent="0.35">
      <c r="A592" s="17">
        <v>56</v>
      </c>
      <c r="B592" s="44" t="s">
        <v>773</v>
      </c>
      <c r="C592" s="36"/>
      <c r="D592" s="6">
        <v>6984</v>
      </c>
      <c r="E592" s="6">
        <v>4000</v>
      </c>
      <c r="F592" s="6"/>
      <c r="G592" s="6"/>
      <c r="H592" s="6"/>
      <c r="I592" s="6">
        <f t="shared" si="74"/>
        <v>4000</v>
      </c>
      <c r="J592" s="6">
        <f t="shared" si="75"/>
        <v>2984</v>
      </c>
      <c r="K592" s="6"/>
    </row>
    <row r="593" spans="1:11" ht="16.8" thickTop="1" thickBot="1" x14ac:dyDescent="0.35">
      <c r="A593" s="17">
        <v>57</v>
      </c>
      <c r="B593" s="44" t="s">
        <v>779</v>
      </c>
      <c r="C593" s="46"/>
      <c r="D593" s="6">
        <v>6984</v>
      </c>
      <c r="E593" s="6">
        <v>6984</v>
      </c>
      <c r="F593" s="6"/>
      <c r="G593" s="6"/>
      <c r="H593" s="6"/>
      <c r="I593" s="6">
        <f t="shared" si="74"/>
        <v>6984</v>
      </c>
      <c r="J593" s="6">
        <f t="shared" si="75"/>
        <v>0</v>
      </c>
      <c r="K593" s="6" t="s">
        <v>1395</v>
      </c>
    </row>
    <row r="594" spans="1:11" ht="16.8" thickTop="1" thickBot="1" x14ac:dyDescent="0.35">
      <c r="A594" s="17">
        <v>58</v>
      </c>
      <c r="B594" s="66" t="s">
        <v>756</v>
      </c>
      <c r="C594" s="36"/>
      <c r="D594" s="6">
        <v>6984</v>
      </c>
      <c r="E594" s="6"/>
      <c r="F594" s="6"/>
      <c r="G594" s="6"/>
      <c r="H594" s="6"/>
      <c r="I594" s="6">
        <f t="shared" si="74"/>
        <v>0</v>
      </c>
      <c r="J594" s="6">
        <f t="shared" si="75"/>
        <v>6984</v>
      </c>
      <c r="K594" s="6"/>
    </row>
    <row r="595" spans="1:11" ht="16.8" thickTop="1" thickBot="1" x14ac:dyDescent="0.35">
      <c r="A595" s="17">
        <v>59</v>
      </c>
      <c r="B595" s="44" t="s">
        <v>723</v>
      </c>
      <c r="C595" s="36"/>
      <c r="D595" s="6">
        <v>6984</v>
      </c>
      <c r="E595" s="6">
        <v>2400</v>
      </c>
      <c r="F595" s="6"/>
      <c r="G595" s="6"/>
      <c r="H595" s="6"/>
      <c r="I595" s="6">
        <f t="shared" si="74"/>
        <v>2400</v>
      </c>
      <c r="J595" s="6">
        <f t="shared" si="75"/>
        <v>4584</v>
      </c>
      <c r="K595" s="6"/>
    </row>
    <row r="596" spans="1:11" ht="16.8" thickTop="1" thickBot="1" x14ac:dyDescent="0.35">
      <c r="A596" s="17">
        <v>60</v>
      </c>
      <c r="B596" s="44" t="s">
        <v>755</v>
      </c>
      <c r="C596" s="36"/>
      <c r="D596" s="6">
        <v>6984</v>
      </c>
      <c r="E596" s="6">
        <v>4000</v>
      </c>
      <c r="F596" s="6"/>
      <c r="G596" s="6"/>
      <c r="H596" s="6"/>
      <c r="I596" s="6">
        <f t="shared" si="74"/>
        <v>4000</v>
      </c>
      <c r="J596" s="6">
        <f t="shared" si="75"/>
        <v>2984</v>
      </c>
      <c r="K596" s="6"/>
    </row>
    <row r="597" spans="1:11" ht="16.8" thickTop="1" thickBot="1" x14ac:dyDescent="0.35">
      <c r="A597" s="17">
        <v>61</v>
      </c>
      <c r="B597" s="44" t="s">
        <v>725</v>
      </c>
      <c r="C597" s="46"/>
      <c r="D597" s="6">
        <v>6984</v>
      </c>
      <c r="E597" s="6">
        <v>4500</v>
      </c>
      <c r="F597" s="6"/>
      <c r="G597" s="6"/>
      <c r="H597" s="6"/>
      <c r="I597" s="6">
        <f t="shared" si="74"/>
        <v>4500</v>
      </c>
      <c r="J597" s="6">
        <f t="shared" si="75"/>
        <v>2484</v>
      </c>
      <c r="K597" s="6"/>
    </row>
    <row r="598" spans="1:11" ht="16.8" thickTop="1" thickBot="1" x14ac:dyDescent="0.35">
      <c r="A598" s="17">
        <v>62</v>
      </c>
      <c r="B598" s="44" t="s">
        <v>749</v>
      </c>
      <c r="C598" s="36"/>
      <c r="D598" s="6">
        <v>6984</v>
      </c>
      <c r="E598" s="6">
        <v>2400</v>
      </c>
      <c r="F598" s="6"/>
      <c r="G598" s="6"/>
      <c r="H598" s="6"/>
      <c r="I598" s="6">
        <f t="shared" si="74"/>
        <v>2400</v>
      </c>
      <c r="J598" s="6">
        <f t="shared" si="75"/>
        <v>4584</v>
      </c>
      <c r="K598" s="6"/>
    </row>
    <row r="599" spans="1:11" x14ac:dyDescent="0.3">
      <c r="D599" s="493">
        <f t="shared" ref="D599:J599" si="76">SUM(D537:D598)</f>
        <v>433008</v>
      </c>
      <c r="E599" s="493">
        <f t="shared" si="76"/>
        <v>112512</v>
      </c>
      <c r="F599" s="493">
        <f t="shared" si="76"/>
        <v>7000</v>
      </c>
      <c r="G599" s="493">
        <f t="shared" si="76"/>
        <v>0</v>
      </c>
      <c r="H599" s="493">
        <f t="shared" si="76"/>
        <v>0</v>
      </c>
      <c r="I599" s="493">
        <f t="shared" si="76"/>
        <v>119512</v>
      </c>
      <c r="J599" s="493">
        <f t="shared" si="76"/>
        <v>313496</v>
      </c>
    </row>
    <row r="601" spans="1:11" ht="15" thickBot="1" x14ac:dyDescent="0.35"/>
    <row r="602" spans="1:11" ht="16.2" thickBot="1" x14ac:dyDescent="0.35">
      <c r="A602" s="7"/>
      <c r="B602" s="7"/>
      <c r="C602" s="7"/>
      <c r="D602" s="7"/>
      <c r="E602" s="7"/>
      <c r="F602" s="7"/>
      <c r="G602" s="6"/>
      <c r="H602" s="6"/>
      <c r="I602" s="6"/>
      <c r="J602" s="6"/>
      <c r="K602" s="6"/>
    </row>
    <row r="603" spans="1:11" ht="16.2" thickBot="1" x14ac:dyDescent="0.35">
      <c r="A603" s="5" t="s">
        <v>1473</v>
      </c>
      <c r="B603" s="4"/>
      <c r="C603" s="4"/>
      <c r="D603" s="4"/>
      <c r="E603" s="4"/>
      <c r="F603" s="529" t="s">
        <v>1722</v>
      </c>
      <c r="G603" s="6"/>
      <c r="H603" s="6"/>
      <c r="I603" s="6"/>
      <c r="J603" s="6"/>
      <c r="K603" s="6"/>
    </row>
    <row r="604" spans="1:11" ht="27.6" thickBot="1" x14ac:dyDescent="0.35">
      <c r="A604" s="64" t="s">
        <v>0</v>
      </c>
      <c r="B604" s="8" t="s">
        <v>1</v>
      </c>
      <c r="C604" s="64" t="s">
        <v>2</v>
      </c>
      <c r="D604" s="69" t="s">
        <v>854</v>
      </c>
      <c r="E604" s="580" t="s">
        <v>855</v>
      </c>
      <c r="F604" s="581"/>
      <c r="G604" s="581"/>
      <c r="H604" s="582"/>
      <c r="I604" s="111"/>
      <c r="J604" s="70" t="s">
        <v>856</v>
      </c>
      <c r="K604" s="8" t="s">
        <v>3</v>
      </c>
    </row>
    <row r="605" spans="1:11" ht="16.2" thickBot="1" x14ac:dyDescent="0.35">
      <c r="A605" s="64" t="s">
        <v>0</v>
      </c>
      <c r="B605" s="8" t="s">
        <v>1</v>
      </c>
      <c r="C605" s="64" t="s">
        <v>2</v>
      </c>
      <c r="D605" s="96">
        <v>6516</v>
      </c>
      <c r="E605" s="97"/>
      <c r="F605" s="97"/>
      <c r="G605" s="98"/>
      <c r="H605" s="98"/>
      <c r="I605" s="98">
        <f t="shared" ref="I605:I666" si="77">SUM(E605:H605)</f>
        <v>0</v>
      </c>
      <c r="J605" s="98">
        <f>D605-I605</f>
        <v>6516</v>
      </c>
      <c r="K605" s="98"/>
    </row>
    <row r="606" spans="1:11" ht="16.2" thickBot="1" x14ac:dyDescent="0.35">
      <c r="A606" s="17">
        <v>1</v>
      </c>
      <c r="B606" s="131" t="s">
        <v>995</v>
      </c>
      <c r="C606" s="17">
        <v>2322</v>
      </c>
      <c r="D606" s="96">
        <v>6516</v>
      </c>
      <c r="E606" s="97"/>
      <c r="F606" s="97"/>
      <c r="G606" s="98"/>
      <c r="H606" s="98"/>
      <c r="I606" s="98">
        <f t="shared" si="77"/>
        <v>0</v>
      </c>
      <c r="J606" s="98">
        <f t="shared" ref="J606:J666" si="78">D606-I606</f>
        <v>6516</v>
      </c>
      <c r="K606" s="98"/>
    </row>
    <row r="607" spans="1:11" ht="16.2" thickBot="1" x14ac:dyDescent="0.35">
      <c r="A607" s="17">
        <v>2</v>
      </c>
      <c r="B607" s="131" t="s">
        <v>996</v>
      </c>
      <c r="C607" s="28">
        <v>2154</v>
      </c>
      <c r="D607" s="96">
        <v>6516</v>
      </c>
      <c r="E607" s="100"/>
      <c r="F607" s="101"/>
      <c r="G607" s="98"/>
      <c r="H607" s="98"/>
      <c r="I607" s="98">
        <f t="shared" si="77"/>
        <v>0</v>
      </c>
      <c r="J607" s="98">
        <f t="shared" si="78"/>
        <v>6516</v>
      </c>
      <c r="K607" s="98"/>
    </row>
    <row r="608" spans="1:11" ht="16.2" thickBot="1" x14ac:dyDescent="0.35">
      <c r="A608" s="17">
        <v>3</v>
      </c>
      <c r="B608" s="131" t="s">
        <v>997</v>
      </c>
      <c r="C608" s="17">
        <v>1596</v>
      </c>
      <c r="D608" s="96">
        <v>6516</v>
      </c>
      <c r="E608" s="102"/>
      <c r="F608" s="103"/>
      <c r="G608" s="98"/>
      <c r="H608" s="98"/>
      <c r="I608" s="98">
        <f t="shared" si="77"/>
        <v>0</v>
      </c>
      <c r="J608" s="98">
        <f t="shared" si="78"/>
        <v>6516</v>
      </c>
      <c r="K608" s="98"/>
    </row>
    <row r="609" spans="1:11" ht="16.2" thickBot="1" x14ac:dyDescent="0.35">
      <c r="A609" s="17">
        <v>4</v>
      </c>
      <c r="B609" s="131" t="s">
        <v>998</v>
      </c>
      <c r="C609" s="17">
        <v>2156</v>
      </c>
      <c r="D609" s="96">
        <v>6516</v>
      </c>
      <c r="E609" s="102"/>
      <c r="F609" s="103"/>
      <c r="G609" s="98"/>
      <c r="H609" s="98"/>
      <c r="I609" s="98">
        <f t="shared" si="77"/>
        <v>0</v>
      </c>
      <c r="J609" s="98">
        <f t="shared" si="78"/>
        <v>6516</v>
      </c>
      <c r="K609" s="98"/>
    </row>
    <row r="610" spans="1:11" ht="16.2" thickBot="1" x14ac:dyDescent="0.35">
      <c r="A610" s="17">
        <v>5</v>
      </c>
      <c r="B610" s="131" t="s">
        <v>999</v>
      </c>
      <c r="C610" s="28">
        <v>2157</v>
      </c>
      <c r="D610" s="96">
        <v>6516</v>
      </c>
      <c r="E610" s="99"/>
      <c r="F610" s="99"/>
      <c r="G610" s="98"/>
      <c r="H610" s="98"/>
      <c r="I610" s="98">
        <f t="shared" si="77"/>
        <v>0</v>
      </c>
      <c r="J610" s="98">
        <f t="shared" si="78"/>
        <v>6516</v>
      </c>
      <c r="K610" s="98"/>
    </row>
    <row r="611" spans="1:11" ht="16.2" thickBot="1" x14ac:dyDescent="0.35">
      <c r="A611" s="17">
        <v>6</v>
      </c>
      <c r="B611" s="131" t="s">
        <v>1000</v>
      </c>
      <c r="C611" s="28">
        <v>2158</v>
      </c>
      <c r="D611" s="96">
        <v>6516</v>
      </c>
      <c r="E611" s="102"/>
      <c r="F611" s="99"/>
      <c r="G611" s="98"/>
      <c r="H611" s="98"/>
      <c r="I611" s="98">
        <f t="shared" si="77"/>
        <v>0</v>
      </c>
      <c r="J611" s="98">
        <f t="shared" si="78"/>
        <v>6516</v>
      </c>
      <c r="K611" s="98"/>
    </row>
    <row r="612" spans="1:11" ht="16.2" thickBot="1" x14ac:dyDescent="0.35">
      <c r="A612" s="17">
        <v>7</v>
      </c>
      <c r="B612" s="131" t="s">
        <v>1001</v>
      </c>
      <c r="C612" s="17">
        <v>2161</v>
      </c>
      <c r="D612" s="96">
        <v>6516</v>
      </c>
      <c r="E612" s="97">
        <v>5430</v>
      </c>
      <c r="F612" s="97"/>
      <c r="G612" s="98"/>
      <c r="H612" s="98"/>
      <c r="I612" s="98">
        <f t="shared" si="77"/>
        <v>5430</v>
      </c>
      <c r="J612" s="98">
        <f t="shared" si="78"/>
        <v>1086</v>
      </c>
      <c r="K612" s="98"/>
    </row>
    <row r="613" spans="1:11" ht="16.2" thickBot="1" x14ac:dyDescent="0.35">
      <c r="A613" s="17">
        <v>8</v>
      </c>
      <c r="B613" s="131" t="s">
        <v>1002</v>
      </c>
      <c r="C613" s="28">
        <v>2162</v>
      </c>
      <c r="D613" s="96">
        <v>6516</v>
      </c>
      <c r="E613" s="99"/>
      <c r="F613" s="99"/>
      <c r="G613" s="98"/>
      <c r="H613" s="98"/>
      <c r="I613" s="98">
        <f t="shared" si="77"/>
        <v>0</v>
      </c>
      <c r="J613" s="98">
        <f t="shared" si="78"/>
        <v>6516</v>
      </c>
      <c r="K613" s="98"/>
    </row>
    <row r="614" spans="1:11" ht="16.2" thickBot="1" x14ac:dyDescent="0.35">
      <c r="A614" s="17">
        <v>9</v>
      </c>
      <c r="B614" s="131" t="s">
        <v>1003</v>
      </c>
      <c r="C614" s="524">
        <v>2163</v>
      </c>
      <c r="D614" s="96">
        <v>6516</v>
      </c>
      <c r="E614" s="99"/>
      <c r="F614" s="99"/>
      <c r="G614" s="98"/>
      <c r="H614" s="98"/>
      <c r="I614" s="98">
        <f t="shared" si="77"/>
        <v>0</v>
      </c>
      <c r="J614" s="98">
        <f t="shared" si="78"/>
        <v>6516</v>
      </c>
      <c r="K614" s="98"/>
    </row>
    <row r="615" spans="1:11" ht="16.2" thickBot="1" x14ac:dyDescent="0.35">
      <c r="A615" s="17">
        <v>10</v>
      </c>
      <c r="B615" s="131" t="s">
        <v>1004</v>
      </c>
      <c r="C615" s="28">
        <v>2164</v>
      </c>
      <c r="D615" s="96">
        <v>6516</v>
      </c>
      <c r="E615" s="102"/>
      <c r="F615" s="103"/>
      <c r="G615" s="98"/>
      <c r="H615" s="98"/>
      <c r="I615" s="98">
        <f t="shared" si="77"/>
        <v>0</v>
      </c>
      <c r="J615" s="98">
        <f t="shared" si="78"/>
        <v>6516</v>
      </c>
      <c r="K615" s="98"/>
    </row>
    <row r="616" spans="1:11" ht="16.2" thickBot="1" x14ac:dyDescent="0.35">
      <c r="A616" s="17">
        <v>11</v>
      </c>
      <c r="B616" s="131" t="s">
        <v>1005</v>
      </c>
      <c r="C616" s="17">
        <v>2165</v>
      </c>
      <c r="D616" s="96">
        <v>6516</v>
      </c>
      <c r="E616" s="97"/>
      <c r="F616" s="97"/>
      <c r="G616" s="98"/>
      <c r="H616" s="98"/>
      <c r="I616" s="98">
        <f t="shared" si="77"/>
        <v>0</v>
      </c>
      <c r="J616" s="98">
        <f t="shared" si="78"/>
        <v>6516</v>
      </c>
      <c r="K616" s="98"/>
    </row>
    <row r="617" spans="1:11" ht="16.2" thickBot="1" x14ac:dyDescent="0.35">
      <c r="A617" s="17">
        <v>12</v>
      </c>
      <c r="B617" s="131" t="s">
        <v>1006</v>
      </c>
      <c r="C617" s="17">
        <v>2166</v>
      </c>
      <c r="D617" s="96">
        <v>6516</v>
      </c>
      <c r="E617" s="97"/>
      <c r="F617" s="97"/>
      <c r="G617" s="98"/>
      <c r="H617" s="98"/>
      <c r="I617" s="98">
        <f t="shared" si="77"/>
        <v>0</v>
      </c>
      <c r="J617" s="98">
        <f t="shared" si="78"/>
        <v>6516</v>
      </c>
      <c r="K617" s="98"/>
    </row>
    <row r="618" spans="1:11" ht="16.2" thickBot="1" x14ac:dyDescent="0.35">
      <c r="A618" s="17">
        <v>13</v>
      </c>
      <c r="B618" s="131" t="s">
        <v>1007</v>
      </c>
      <c r="C618" s="28">
        <v>2167</v>
      </c>
      <c r="D618" s="96">
        <v>6516</v>
      </c>
      <c r="E618" s="102"/>
      <c r="F618" s="103"/>
      <c r="G618" s="98"/>
      <c r="H618" s="98"/>
      <c r="I618" s="98">
        <f t="shared" si="77"/>
        <v>0</v>
      </c>
      <c r="J618" s="98">
        <f t="shared" si="78"/>
        <v>6516</v>
      </c>
      <c r="K618" s="98"/>
    </row>
    <row r="619" spans="1:11" ht="16.2" thickBot="1" x14ac:dyDescent="0.35">
      <c r="A619" s="17">
        <v>14</v>
      </c>
      <c r="B619" s="131" t="s">
        <v>1008</v>
      </c>
      <c r="C619" s="17">
        <v>2168</v>
      </c>
      <c r="D619" s="96">
        <v>6516</v>
      </c>
      <c r="E619" s="97"/>
      <c r="F619" s="97"/>
      <c r="G619" s="98"/>
      <c r="H619" s="98"/>
      <c r="I619" s="98">
        <f t="shared" si="77"/>
        <v>0</v>
      </c>
      <c r="J619" s="98">
        <f t="shared" si="78"/>
        <v>6516</v>
      </c>
      <c r="K619" s="98"/>
    </row>
    <row r="620" spans="1:11" ht="16.2" thickBot="1" x14ac:dyDescent="0.35">
      <c r="A620" s="17">
        <v>15</v>
      </c>
      <c r="B620" s="131" t="s">
        <v>1009</v>
      </c>
      <c r="C620" s="17">
        <v>2169</v>
      </c>
      <c r="D620" s="96">
        <v>6516</v>
      </c>
      <c r="E620" s="97"/>
      <c r="F620" s="97"/>
      <c r="G620" s="98"/>
      <c r="H620" s="98"/>
      <c r="I620" s="98">
        <f t="shared" si="77"/>
        <v>0</v>
      </c>
      <c r="J620" s="98">
        <f t="shared" si="78"/>
        <v>6516</v>
      </c>
      <c r="K620" s="98"/>
    </row>
    <row r="621" spans="1:11" ht="16.2" thickBot="1" x14ac:dyDescent="0.35">
      <c r="A621" s="17">
        <v>16</v>
      </c>
      <c r="B621" s="131" t="s">
        <v>1010</v>
      </c>
      <c r="C621" s="17">
        <v>2170</v>
      </c>
      <c r="D621" s="96">
        <v>6516</v>
      </c>
      <c r="E621" s="97"/>
      <c r="F621" s="97"/>
      <c r="G621" s="98"/>
      <c r="H621" s="98"/>
      <c r="I621" s="98">
        <f t="shared" si="77"/>
        <v>0</v>
      </c>
      <c r="J621" s="98">
        <f t="shared" si="78"/>
        <v>6516</v>
      </c>
      <c r="K621" s="98"/>
    </row>
    <row r="622" spans="1:11" ht="16.2" thickBot="1" x14ac:dyDescent="0.35">
      <c r="A622" s="17">
        <v>17</v>
      </c>
      <c r="B622" s="131" t="s">
        <v>1011</v>
      </c>
      <c r="C622" s="28">
        <v>2171</v>
      </c>
      <c r="D622" s="96">
        <v>6516</v>
      </c>
      <c r="E622" s="99"/>
      <c r="F622" s="99"/>
      <c r="G622" s="98"/>
      <c r="H622" s="98"/>
      <c r="I622" s="98">
        <f t="shared" si="77"/>
        <v>0</v>
      </c>
      <c r="J622" s="98">
        <f t="shared" si="78"/>
        <v>6516</v>
      </c>
      <c r="K622" s="98"/>
    </row>
    <row r="623" spans="1:11" ht="16.2" thickBot="1" x14ac:dyDescent="0.35">
      <c r="A623" s="17">
        <v>18</v>
      </c>
      <c r="B623" s="131" t="s">
        <v>1012</v>
      </c>
      <c r="C623" s="28">
        <v>2172</v>
      </c>
      <c r="D623" s="96">
        <v>6516</v>
      </c>
      <c r="E623" s="102"/>
      <c r="F623" s="102"/>
      <c r="G623" s="98"/>
      <c r="H623" s="98"/>
      <c r="I623" s="98">
        <f t="shared" si="77"/>
        <v>0</v>
      </c>
      <c r="J623" s="98">
        <f t="shared" si="78"/>
        <v>6516</v>
      </c>
      <c r="K623" s="98"/>
    </row>
    <row r="624" spans="1:11" ht="16.2" thickBot="1" x14ac:dyDescent="0.35">
      <c r="A624" s="17">
        <v>19</v>
      </c>
      <c r="B624" s="131" t="s">
        <v>1013</v>
      </c>
      <c r="C624" s="17">
        <v>2173</v>
      </c>
      <c r="D624" s="96">
        <v>6516</v>
      </c>
      <c r="E624" s="97"/>
      <c r="F624" s="97"/>
      <c r="G624" s="98"/>
      <c r="H624" s="98"/>
      <c r="I624" s="98">
        <f t="shared" si="77"/>
        <v>0</v>
      </c>
      <c r="J624" s="98">
        <f t="shared" si="78"/>
        <v>6516</v>
      </c>
      <c r="K624" s="98"/>
    </row>
    <row r="625" spans="1:11" ht="16.2" thickBot="1" x14ac:dyDescent="0.35">
      <c r="A625" s="17">
        <v>20</v>
      </c>
      <c r="B625" s="525" t="s">
        <v>1719</v>
      </c>
      <c r="C625" s="17"/>
      <c r="D625" s="96">
        <v>6516</v>
      </c>
      <c r="E625" s="99"/>
      <c r="F625" s="99"/>
      <c r="G625" s="98"/>
      <c r="H625" s="98"/>
      <c r="I625" s="98">
        <f t="shared" si="77"/>
        <v>0</v>
      </c>
      <c r="J625" s="98">
        <f t="shared" si="78"/>
        <v>6516</v>
      </c>
      <c r="K625" s="98"/>
    </row>
    <row r="626" spans="1:11" ht="16.2" thickBot="1" x14ac:dyDescent="0.35">
      <c r="A626" s="17">
        <v>21</v>
      </c>
      <c r="B626" s="131" t="s">
        <v>1014</v>
      </c>
      <c r="C626" s="28">
        <v>2174</v>
      </c>
      <c r="D626" s="96">
        <v>6516</v>
      </c>
      <c r="E626" s="102"/>
      <c r="F626" s="103"/>
      <c r="G626" s="98"/>
      <c r="H626" s="98"/>
      <c r="I626" s="98">
        <f t="shared" si="77"/>
        <v>0</v>
      </c>
      <c r="J626" s="98">
        <f t="shared" si="78"/>
        <v>6516</v>
      </c>
      <c r="K626" s="98"/>
    </row>
    <row r="627" spans="1:11" ht="16.2" thickBot="1" x14ac:dyDescent="0.35">
      <c r="A627" s="17">
        <v>22</v>
      </c>
      <c r="B627" s="131" t="s">
        <v>1720</v>
      </c>
      <c r="C627" s="28">
        <v>2175</v>
      </c>
      <c r="D627" s="96">
        <v>6516</v>
      </c>
      <c r="E627" s="97"/>
      <c r="F627" s="97"/>
      <c r="G627" s="98"/>
      <c r="H627" s="98"/>
      <c r="I627" s="98">
        <f t="shared" si="77"/>
        <v>0</v>
      </c>
      <c r="J627" s="98">
        <f t="shared" si="78"/>
        <v>6516</v>
      </c>
      <c r="K627" s="98"/>
    </row>
    <row r="628" spans="1:11" ht="16.2" thickBot="1" x14ac:dyDescent="0.35">
      <c r="A628" s="17">
        <v>23</v>
      </c>
      <c r="B628" s="131" t="s">
        <v>1015</v>
      </c>
      <c r="C628" s="17">
        <v>2176</v>
      </c>
      <c r="D628" s="96">
        <v>6516</v>
      </c>
      <c r="E628" s="100"/>
      <c r="F628" s="100"/>
      <c r="G628" s="98"/>
      <c r="H628" s="98"/>
      <c r="I628" s="98">
        <f t="shared" si="77"/>
        <v>0</v>
      </c>
      <c r="J628" s="98">
        <f t="shared" si="78"/>
        <v>6516</v>
      </c>
      <c r="K628" s="98"/>
    </row>
    <row r="629" spans="1:11" ht="16.2" thickBot="1" x14ac:dyDescent="0.35">
      <c r="A629" s="17">
        <v>24</v>
      </c>
      <c r="B629" s="131" t="s">
        <v>1016</v>
      </c>
      <c r="C629" s="17">
        <v>2177</v>
      </c>
      <c r="D629" s="96">
        <v>6516</v>
      </c>
      <c r="E629" s="97"/>
      <c r="F629" s="97"/>
      <c r="G629" s="98"/>
      <c r="H629" s="98"/>
      <c r="I629" s="98">
        <f t="shared" si="77"/>
        <v>0</v>
      </c>
      <c r="J629" s="98">
        <f t="shared" si="78"/>
        <v>6516</v>
      </c>
      <c r="K629" s="98"/>
    </row>
    <row r="630" spans="1:11" ht="16.2" thickBot="1" x14ac:dyDescent="0.35">
      <c r="A630" s="17">
        <v>25</v>
      </c>
      <c r="B630" s="131" t="s">
        <v>1017</v>
      </c>
      <c r="C630" s="17">
        <v>2178</v>
      </c>
      <c r="D630" s="96">
        <v>6516</v>
      </c>
      <c r="E630" s="100"/>
      <c r="F630" s="100"/>
      <c r="G630" s="98"/>
      <c r="H630" s="98"/>
      <c r="I630" s="98">
        <f t="shared" si="77"/>
        <v>0</v>
      </c>
      <c r="J630" s="98">
        <f t="shared" si="78"/>
        <v>6516</v>
      </c>
      <c r="K630" s="98"/>
    </row>
    <row r="631" spans="1:11" ht="16.2" thickBot="1" x14ac:dyDescent="0.35">
      <c r="A631" s="17">
        <v>26</v>
      </c>
      <c r="B631" s="131" t="s">
        <v>1018</v>
      </c>
      <c r="C631" s="17">
        <v>2179</v>
      </c>
      <c r="D631" s="96">
        <v>6516</v>
      </c>
      <c r="E631" s="99"/>
      <c r="F631" s="99"/>
      <c r="G631" s="98"/>
      <c r="H631" s="98"/>
      <c r="I631" s="98">
        <f t="shared" si="77"/>
        <v>0</v>
      </c>
      <c r="J631" s="98">
        <f t="shared" si="78"/>
        <v>6516</v>
      </c>
      <c r="K631" s="98"/>
    </row>
    <row r="632" spans="1:11" ht="16.2" thickBot="1" x14ac:dyDescent="0.35">
      <c r="A632" s="17">
        <v>27</v>
      </c>
      <c r="B632" s="131" t="s">
        <v>1019</v>
      </c>
      <c r="C632" s="28">
        <v>2181</v>
      </c>
      <c r="D632" s="96">
        <v>6516</v>
      </c>
      <c r="E632" s="99"/>
      <c r="F632" s="99"/>
      <c r="G632" s="98"/>
      <c r="H632" s="98"/>
      <c r="I632" s="98">
        <f t="shared" si="77"/>
        <v>0</v>
      </c>
      <c r="J632" s="98">
        <f t="shared" si="78"/>
        <v>6516</v>
      </c>
      <c r="K632" s="98"/>
    </row>
    <row r="633" spans="1:11" ht="16.2" thickBot="1" x14ac:dyDescent="0.35">
      <c r="A633" s="17">
        <v>28</v>
      </c>
      <c r="B633" s="131" t="s">
        <v>1020</v>
      </c>
      <c r="C633" s="28">
        <v>2182</v>
      </c>
      <c r="D633" s="96">
        <v>6516</v>
      </c>
      <c r="E633" s="102"/>
      <c r="F633" s="103"/>
      <c r="G633" s="98"/>
      <c r="H633" s="98"/>
      <c r="I633" s="98">
        <f t="shared" si="77"/>
        <v>0</v>
      </c>
      <c r="J633" s="98">
        <f t="shared" si="78"/>
        <v>6516</v>
      </c>
      <c r="K633" s="98"/>
    </row>
    <row r="634" spans="1:11" ht="16.2" thickBot="1" x14ac:dyDescent="0.35">
      <c r="A634" s="17">
        <v>29</v>
      </c>
      <c r="B634" s="131" t="s">
        <v>1021</v>
      </c>
      <c r="C634" s="28">
        <v>2183</v>
      </c>
      <c r="D634" s="96">
        <v>6516</v>
      </c>
      <c r="E634" s="97"/>
      <c r="F634" s="97"/>
      <c r="G634" s="98"/>
      <c r="H634" s="98"/>
      <c r="I634" s="98">
        <f t="shared" si="77"/>
        <v>0</v>
      </c>
      <c r="J634" s="98">
        <f t="shared" si="78"/>
        <v>6516</v>
      </c>
      <c r="K634" s="98"/>
    </row>
    <row r="635" spans="1:11" ht="16.2" thickBot="1" x14ac:dyDescent="0.35">
      <c r="A635" s="17">
        <v>30</v>
      </c>
      <c r="B635" s="131" t="s">
        <v>1022</v>
      </c>
      <c r="C635" s="17">
        <v>2186</v>
      </c>
      <c r="D635" s="96">
        <v>6516</v>
      </c>
      <c r="E635" s="97"/>
      <c r="F635" s="97"/>
      <c r="G635" s="98"/>
      <c r="H635" s="98"/>
      <c r="I635" s="98">
        <f t="shared" si="77"/>
        <v>0</v>
      </c>
      <c r="J635" s="98">
        <f t="shared" si="78"/>
        <v>6516</v>
      </c>
      <c r="K635" s="98"/>
    </row>
    <row r="636" spans="1:11" ht="16.2" thickBot="1" x14ac:dyDescent="0.35">
      <c r="A636" s="17">
        <v>31</v>
      </c>
      <c r="B636" s="131" t="s">
        <v>737</v>
      </c>
      <c r="C636" s="28">
        <v>2187</v>
      </c>
      <c r="D636" s="96">
        <v>6516</v>
      </c>
      <c r="E636" s="99"/>
      <c r="F636" s="99"/>
      <c r="G636" s="98"/>
      <c r="H636" s="98"/>
      <c r="I636" s="98">
        <f t="shared" si="77"/>
        <v>0</v>
      </c>
      <c r="J636" s="98">
        <f t="shared" si="78"/>
        <v>6516</v>
      </c>
      <c r="K636" s="98"/>
    </row>
    <row r="637" spans="1:11" ht="16.2" thickBot="1" x14ac:dyDescent="0.35">
      <c r="A637" s="17">
        <v>32</v>
      </c>
      <c r="B637" s="131" t="s">
        <v>1023</v>
      </c>
      <c r="C637" s="17">
        <v>2188</v>
      </c>
      <c r="D637" s="96">
        <v>6516</v>
      </c>
      <c r="E637" s="97"/>
      <c r="F637" s="97"/>
      <c r="G637" s="98"/>
      <c r="H637" s="98"/>
      <c r="I637" s="98">
        <f t="shared" si="77"/>
        <v>0</v>
      </c>
      <c r="J637" s="98">
        <f t="shared" si="78"/>
        <v>6516</v>
      </c>
      <c r="K637" s="98"/>
    </row>
    <row r="638" spans="1:11" ht="16.2" thickBot="1" x14ac:dyDescent="0.35">
      <c r="A638" s="17">
        <v>33</v>
      </c>
      <c r="B638" s="131" t="s">
        <v>1024</v>
      </c>
      <c r="C638" s="28">
        <v>2189</v>
      </c>
      <c r="D638" s="96">
        <v>6516</v>
      </c>
      <c r="E638" s="99"/>
      <c r="F638" s="99"/>
      <c r="G638" s="98"/>
      <c r="H638" s="98"/>
      <c r="I638" s="98">
        <f t="shared" si="77"/>
        <v>0</v>
      </c>
      <c r="J638" s="98">
        <f t="shared" si="78"/>
        <v>6516</v>
      </c>
      <c r="K638" s="98"/>
    </row>
    <row r="639" spans="1:11" ht="16.2" thickBot="1" x14ac:dyDescent="0.35">
      <c r="A639" s="17">
        <v>34</v>
      </c>
      <c r="B639" s="131" t="s">
        <v>1025</v>
      </c>
      <c r="C639" s="17">
        <v>2192</v>
      </c>
      <c r="D639" s="96">
        <v>6516</v>
      </c>
      <c r="E639" s="100"/>
      <c r="F639" s="100"/>
      <c r="G639" s="98"/>
      <c r="H639" s="98"/>
      <c r="I639" s="98">
        <f t="shared" si="77"/>
        <v>0</v>
      </c>
      <c r="J639" s="98">
        <f t="shared" si="78"/>
        <v>6516</v>
      </c>
      <c r="K639" s="98"/>
    </row>
    <row r="640" spans="1:11" ht="16.2" thickBot="1" x14ac:dyDescent="0.35">
      <c r="A640" s="17">
        <v>35</v>
      </c>
      <c r="B640" s="131" t="s">
        <v>1026</v>
      </c>
      <c r="C640" s="17">
        <v>2195</v>
      </c>
      <c r="D640" s="96">
        <v>6516</v>
      </c>
      <c r="E640" s="97"/>
      <c r="F640" s="97"/>
      <c r="G640" s="98"/>
      <c r="H640" s="98"/>
      <c r="I640" s="98">
        <f t="shared" si="77"/>
        <v>0</v>
      </c>
      <c r="J640" s="98">
        <f t="shared" si="78"/>
        <v>6516</v>
      </c>
      <c r="K640" s="98"/>
    </row>
    <row r="641" spans="1:11" ht="16.2" thickBot="1" x14ac:dyDescent="0.35">
      <c r="A641" s="17">
        <v>36</v>
      </c>
      <c r="B641" s="131" t="s">
        <v>1027</v>
      </c>
      <c r="C641" s="17">
        <v>2197</v>
      </c>
      <c r="D641" s="96">
        <v>6516</v>
      </c>
      <c r="E641" s="102"/>
      <c r="F641" s="103"/>
      <c r="G641" s="98"/>
      <c r="H641" s="98"/>
      <c r="I641" s="98">
        <f t="shared" si="77"/>
        <v>0</v>
      </c>
      <c r="J641" s="98">
        <f t="shared" si="78"/>
        <v>6516</v>
      </c>
      <c r="K641" s="98"/>
    </row>
    <row r="642" spans="1:11" ht="16.2" thickBot="1" x14ac:dyDescent="0.35">
      <c r="A642" s="17">
        <v>37</v>
      </c>
      <c r="B642" s="131" t="s">
        <v>1028</v>
      </c>
      <c r="C642" s="17">
        <v>2198</v>
      </c>
      <c r="D642" s="96">
        <v>6516</v>
      </c>
      <c r="E642" s="100"/>
      <c r="F642" s="101"/>
      <c r="G642" s="98"/>
      <c r="H642" s="98"/>
      <c r="I642" s="98">
        <f t="shared" si="77"/>
        <v>0</v>
      </c>
      <c r="J642" s="98">
        <f t="shared" si="78"/>
        <v>6516</v>
      </c>
      <c r="K642" s="98"/>
    </row>
    <row r="643" spans="1:11" ht="16.2" thickBot="1" x14ac:dyDescent="0.35">
      <c r="A643" s="17">
        <v>38</v>
      </c>
      <c r="B643" s="131" t="s">
        <v>1029</v>
      </c>
      <c r="C643" s="17">
        <v>2199</v>
      </c>
      <c r="D643" s="96">
        <v>6516</v>
      </c>
      <c r="E643" s="100"/>
      <c r="F643" s="101"/>
      <c r="G643" s="98"/>
      <c r="H643" s="98"/>
      <c r="I643" s="98">
        <f t="shared" si="77"/>
        <v>0</v>
      </c>
      <c r="J643" s="98">
        <f t="shared" si="78"/>
        <v>6516</v>
      </c>
      <c r="K643" s="98"/>
    </row>
    <row r="644" spans="1:11" ht="16.2" thickBot="1" x14ac:dyDescent="0.35">
      <c r="A644" s="17">
        <v>39</v>
      </c>
      <c r="B644" s="131" t="s">
        <v>1030</v>
      </c>
      <c r="C644" s="28"/>
      <c r="D644" s="96">
        <v>6516</v>
      </c>
      <c r="E644" s="97"/>
      <c r="F644" s="97"/>
      <c r="G644" s="98"/>
      <c r="H644" s="98"/>
      <c r="I644" s="98">
        <f t="shared" si="77"/>
        <v>0</v>
      </c>
      <c r="J644" s="98">
        <f t="shared" si="78"/>
        <v>6516</v>
      </c>
      <c r="K644" s="98"/>
    </row>
    <row r="645" spans="1:11" ht="16.2" thickBot="1" x14ac:dyDescent="0.35">
      <c r="A645" s="17">
        <v>40</v>
      </c>
      <c r="B645" s="131" t="s">
        <v>1031</v>
      </c>
      <c r="C645" s="28">
        <v>2754</v>
      </c>
      <c r="D645" s="96">
        <v>6516</v>
      </c>
      <c r="E645" s="97"/>
      <c r="F645" s="97"/>
      <c r="G645" s="98"/>
      <c r="H645" s="98"/>
      <c r="I645" s="98">
        <f t="shared" si="77"/>
        <v>0</v>
      </c>
      <c r="J645" s="98">
        <f t="shared" si="78"/>
        <v>6516</v>
      </c>
      <c r="K645" s="98"/>
    </row>
    <row r="646" spans="1:11" ht="16.2" thickBot="1" x14ac:dyDescent="0.35">
      <c r="A646" s="17">
        <v>41</v>
      </c>
      <c r="B646" s="131" t="s">
        <v>1032</v>
      </c>
      <c r="C646" s="28">
        <v>2202</v>
      </c>
      <c r="D646" s="96">
        <v>6516</v>
      </c>
      <c r="E646" s="97"/>
      <c r="F646" s="97"/>
      <c r="G646" s="98"/>
      <c r="H646" s="98"/>
      <c r="I646" s="98">
        <f t="shared" si="77"/>
        <v>0</v>
      </c>
      <c r="J646" s="98">
        <f t="shared" si="78"/>
        <v>6516</v>
      </c>
      <c r="K646" s="98"/>
    </row>
    <row r="647" spans="1:11" ht="16.2" thickBot="1" x14ac:dyDescent="0.35">
      <c r="A647" s="17">
        <v>42</v>
      </c>
      <c r="B647" s="131" t="s">
        <v>1033</v>
      </c>
      <c r="C647" s="28">
        <v>2205</v>
      </c>
      <c r="D647" s="96">
        <v>6516</v>
      </c>
      <c r="E647" s="99"/>
      <c r="F647" s="99"/>
      <c r="G647" s="98"/>
      <c r="H647" s="98"/>
      <c r="I647" s="98">
        <f t="shared" si="77"/>
        <v>0</v>
      </c>
      <c r="J647" s="98">
        <f t="shared" si="78"/>
        <v>6516</v>
      </c>
      <c r="K647" s="98"/>
    </row>
    <row r="648" spans="1:11" ht="16.2" thickBot="1" x14ac:dyDescent="0.35">
      <c r="A648" s="17">
        <v>43</v>
      </c>
      <c r="B648" s="131" t="s">
        <v>1034</v>
      </c>
      <c r="C648" s="28">
        <v>2208</v>
      </c>
      <c r="D648" s="96">
        <v>6516</v>
      </c>
      <c r="E648" s="100"/>
      <c r="F648" s="100"/>
      <c r="G648" s="98"/>
      <c r="H648" s="98"/>
      <c r="I648" s="98">
        <f t="shared" si="77"/>
        <v>0</v>
      </c>
      <c r="J648" s="98">
        <f t="shared" si="78"/>
        <v>6516</v>
      </c>
      <c r="K648" s="98"/>
    </row>
    <row r="649" spans="1:11" ht="16.2" thickBot="1" x14ac:dyDescent="0.35">
      <c r="A649" s="17">
        <v>44</v>
      </c>
      <c r="B649" s="131" t="s">
        <v>1035</v>
      </c>
      <c r="C649" s="28">
        <v>2209</v>
      </c>
      <c r="D649" s="96">
        <v>6516</v>
      </c>
      <c r="E649" s="100"/>
      <c r="F649" s="100"/>
      <c r="G649" s="98"/>
      <c r="H649" s="98"/>
      <c r="I649" s="98">
        <f t="shared" si="77"/>
        <v>0</v>
      </c>
      <c r="J649" s="98">
        <f t="shared" si="78"/>
        <v>6516</v>
      </c>
      <c r="K649" s="98"/>
    </row>
    <row r="650" spans="1:11" ht="16.2" thickBot="1" x14ac:dyDescent="0.35">
      <c r="A650" s="17">
        <v>45</v>
      </c>
      <c r="B650" s="131" t="s">
        <v>1036</v>
      </c>
      <c r="C650" s="17">
        <v>1880</v>
      </c>
      <c r="D650" s="96">
        <v>6516</v>
      </c>
      <c r="E650" s="99"/>
      <c r="F650" s="99"/>
      <c r="G650" s="98"/>
      <c r="H650" s="98"/>
      <c r="I650" s="98">
        <f t="shared" si="77"/>
        <v>0</v>
      </c>
      <c r="J650" s="98">
        <f t="shared" si="78"/>
        <v>6516</v>
      </c>
      <c r="K650" s="98"/>
    </row>
    <row r="651" spans="1:11" ht="16.2" thickBot="1" x14ac:dyDescent="0.35">
      <c r="A651" s="17">
        <v>46</v>
      </c>
      <c r="B651" s="131" t="s">
        <v>1037</v>
      </c>
      <c r="C651" s="104">
        <v>2210</v>
      </c>
      <c r="D651" s="96">
        <v>6516</v>
      </c>
      <c r="E651" s="99"/>
      <c r="F651" s="99"/>
      <c r="G651" s="98"/>
      <c r="H651" s="98"/>
      <c r="I651" s="98">
        <f t="shared" si="77"/>
        <v>0</v>
      </c>
      <c r="J651" s="98">
        <f t="shared" si="78"/>
        <v>6516</v>
      </c>
      <c r="K651" s="98"/>
    </row>
    <row r="652" spans="1:11" ht="16.2" thickBot="1" x14ac:dyDescent="0.35">
      <c r="A652" s="17">
        <v>47</v>
      </c>
      <c r="B652" s="131" t="s">
        <v>1038</v>
      </c>
      <c r="C652" s="17">
        <v>2211</v>
      </c>
      <c r="D652" s="96">
        <v>6516</v>
      </c>
      <c r="E652" s="99"/>
      <c r="F652" s="99"/>
      <c r="G652" s="98"/>
      <c r="H652" s="98"/>
      <c r="I652" s="98">
        <f t="shared" si="77"/>
        <v>0</v>
      </c>
      <c r="J652" s="98">
        <f t="shared" si="78"/>
        <v>6516</v>
      </c>
      <c r="K652" s="98"/>
    </row>
    <row r="653" spans="1:11" ht="16.2" thickBot="1" x14ac:dyDescent="0.35">
      <c r="A653" s="17">
        <v>48</v>
      </c>
      <c r="B653" s="131" t="s">
        <v>1039</v>
      </c>
      <c r="C653" s="28">
        <v>2212</v>
      </c>
      <c r="D653" s="96">
        <v>6516</v>
      </c>
      <c r="E653" s="102"/>
      <c r="F653" s="103"/>
      <c r="G653" s="98"/>
      <c r="H653" s="98"/>
      <c r="I653" s="98">
        <f t="shared" si="77"/>
        <v>0</v>
      </c>
      <c r="J653" s="98">
        <f t="shared" si="78"/>
        <v>6516</v>
      </c>
      <c r="K653" s="98"/>
    </row>
    <row r="654" spans="1:11" ht="16.2" thickBot="1" x14ac:dyDescent="0.35">
      <c r="A654" s="17">
        <v>49</v>
      </c>
      <c r="B654" s="131" t="s">
        <v>1040</v>
      </c>
      <c r="C654" s="28">
        <v>2217</v>
      </c>
      <c r="D654" s="96">
        <v>6516</v>
      </c>
      <c r="E654" s="99"/>
      <c r="F654" s="99"/>
      <c r="G654" s="98"/>
      <c r="H654" s="98"/>
      <c r="I654" s="98">
        <f t="shared" si="77"/>
        <v>0</v>
      </c>
      <c r="J654" s="98">
        <f t="shared" si="78"/>
        <v>6516</v>
      </c>
      <c r="K654" s="98"/>
    </row>
    <row r="655" spans="1:11" ht="16.2" thickBot="1" x14ac:dyDescent="0.35">
      <c r="A655" s="17">
        <v>50</v>
      </c>
      <c r="B655" s="131" t="s">
        <v>1041</v>
      </c>
      <c r="C655" s="28">
        <v>2218</v>
      </c>
      <c r="D655" s="96">
        <v>6516</v>
      </c>
      <c r="E655" s="102"/>
      <c r="F655" s="103"/>
      <c r="G655" s="98"/>
      <c r="H655" s="98"/>
      <c r="I655" s="98">
        <f t="shared" si="77"/>
        <v>0</v>
      </c>
      <c r="J655" s="98">
        <f t="shared" si="78"/>
        <v>6516</v>
      </c>
      <c r="K655" s="98"/>
    </row>
    <row r="656" spans="1:11" ht="16.2" thickBot="1" x14ac:dyDescent="0.35">
      <c r="A656" s="17">
        <v>51</v>
      </c>
      <c r="B656" s="131" t="s">
        <v>1042</v>
      </c>
      <c r="C656" s="28">
        <v>2219</v>
      </c>
      <c r="D656" s="96">
        <v>6516</v>
      </c>
      <c r="E656" s="99"/>
      <c r="F656" s="99"/>
      <c r="G656" s="98"/>
      <c r="H656" s="98"/>
      <c r="I656" s="98">
        <f t="shared" si="77"/>
        <v>0</v>
      </c>
      <c r="J656" s="98">
        <f t="shared" si="78"/>
        <v>6516</v>
      </c>
      <c r="K656" s="98"/>
    </row>
    <row r="657" spans="1:11" ht="16.2" thickBot="1" x14ac:dyDescent="0.35">
      <c r="A657" s="17">
        <v>52</v>
      </c>
      <c r="B657" s="131" t="s">
        <v>1043</v>
      </c>
      <c r="C657" s="17">
        <v>2354</v>
      </c>
      <c r="D657" s="96">
        <v>6516</v>
      </c>
      <c r="E657" s="97"/>
      <c r="F657" s="97"/>
      <c r="G657" s="98"/>
      <c r="H657" s="98"/>
      <c r="I657" s="98">
        <f t="shared" si="77"/>
        <v>0</v>
      </c>
      <c r="J657" s="98">
        <f t="shared" si="78"/>
        <v>6516</v>
      </c>
      <c r="K657" s="98"/>
    </row>
    <row r="658" spans="1:11" ht="16.2" thickBot="1" x14ac:dyDescent="0.35">
      <c r="A658" s="17">
        <v>53</v>
      </c>
      <c r="B658" s="131" t="s">
        <v>1044</v>
      </c>
      <c r="C658" s="28">
        <v>2221</v>
      </c>
      <c r="D658" s="96">
        <v>6516</v>
      </c>
      <c r="E658" s="99"/>
      <c r="F658" s="99"/>
      <c r="G658" s="98"/>
      <c r="H658" s="98"/>
      <c r="I658" s="98">
        <f t="shared" si="77"/>
        <v>0</v>
      </c>
      <c r="J658" s="98">
        <f t="shared" si="78"/>
        <v>6516</v>
      </c>
      <c r="K658" s="98"/>
    </row>
    <row r="659" spans="1:11" ht="16.2" thickBot="1" x14ac:dyDescent="0.35">
      <c r="A659" s="17">
        <v>54</v>
      </c>
      <c r="B659" s="131" t="s">
        <v>1045</v>
      </c>
      <c r="C659" s="17">
        <v>2222</v>
      </c>
      <c r="D659" s="96">
        <v>6516</v>
      </c>
      <c r="E659" s="100"/>
      <c r="F659" s="101"/>
      <c r="G659" s="98"/>
      <c r="H659" s="98"/>
      <c r="I659" s="98">
        <f t="shared" si="77"/>
        <v>0</v>
      </c>
      <c r="J659" s="98">
        <f t="shared" si="78"/>
        <v>6516</v>
      </c>
      <c r="K659" s="98"/>
    </row>
    <row r="660" spans="1:11" ht="16.2" thickBot="1" x14ac:dyDescent="0.35">
      <c r="A660" s="17">
        <v>55</v>
      </c>
      <c r="B660" s="131" t="s">
        <v>1046</v>
      </c>
      <c r="C660" s="28">
        <v>2223</v>
      </c>
      <c r="D660" s="96">
        <v>6516</v>
      </c>
      <c r="E660" s="102"/>
      <c r="F660" s="103"/>
      <c r="G660" s="98"/>
      <c r="H660" s="98"/>
      <c r="I660" s="98">
        <f t="shared" si="77"/>
        <v>0</v>
      </c>
      <c r="J660" s="98">
        <f t="shared" si="78"/>
        <v>6516</v>
      </c>
      <c r="K660" s="98"/>
    </row>
    <row r="661" spans="1:11" ht="16.2" thickBot="1" x14ac:dyDescent="0.35">
      <c r="A661" s="17">
        <v>56</v>
      </c>
      <c r="B661" s="131" t="s">
        <v>1047</v>
      </c>
      <c r="C661" s="28">
        <v>2224</v>
      </c>
      <c r="D661" s="96">
        <v>6516</v>
      </c>
      <c r="E661" s="102"/>
      <c r="F661" s="103"/>
      <c r="G661" s="98"/>
      <c r="H661" s="98"/>
      <c r="I661" s="98">
        <f t="shared" si="77"/>
        <v>0</v>
      </c>
      <c r="J661" s="98">
        <f t="shared" si="78"/>
        <v>6516</v>
      </c>
      <c r="K661" s="98"/>
    </row>
    <row r="662" spans="1:11" ht="16.2" thickBot="1" x14ac:dyDescent="0.35">
      <c r="A662" s="17">
        <v>57</v>
      </c>
      <c r="B662" s="282" t="s">
        <v>330</v>
      </c>
      <c r="C662" s="81">
        <v>2225</v>
      </c>
      <c r="D662" s="96">
        <v>6516</v>
      </c>
      <c r="E662" s="99"/>
      <c r="F662" s="99"/>
      <c r="G662" s="98"/>
      <c r="H662" s="98"/>
      <c r="I662" s="98">
        <f t="shared" si="77"/>
        <v>0</v>
      </c>
      <c r="J662" s="98">
        <f t="shared" si="78"/>
        <v>6516</v>
      </c>
      <c r="K662" s="98"/>
    </row>
    <row r="663" spans="1:11" ht="16.8" thickTop="1" thickBot="1" x14ac:dyDescent="0.35">
      <c r="A663" s="17">
        <v>58</v>
      </c>
      <c r="B663" s="526" t="s">
        <v>1048</v>
      </c>
      <c r="C663" s="61">
        <v>2226</v>
      </c>
      <c r="D663" s="96">
        <v>6516</v>
      </c>
      <c r="E663" s="102"/>
      <c r="F663" s="103"/>
      <c r="G663" s="98"/>
      <c r="H663" s="98"/>
      <c r="I663" s="98">
        <f t="shared" si="77"/>
        <v>0</v>
      </c>
      <c r="J663" s="98">
        <f t="shared" si="78"/>
        <v>6516</v>
      </c>
      <c r="K663" s="98"/>
    </row>
    <row r="664" spans="1:11" ht="16.8" thickTop="1" thickBot="1" x14ac:dyDescent="0.35">
      <c r="A664" s="17">
        <v>59</v>
      </c>
      <c r="B664" s="526" t="s">
        <v>1049</v>
      </c>
      <c r="C664" s="61">
        <v>2227</v>
      </c>
      <c r="D664" s="96">
        <v>6516</v>
      </c>
      <c r="E664" s="102"/>
      <c r="F664" s="103"/>
      <c r="G664" s="98"/>
      <c r="H664" s="98"/>
      <c r="I664" s="98">
        <f t="shared" si="77"/>
        <v>0</v>
      </c>
      <c r="J664" s="98">
        <f t="shared" si="78"/>
        <v>6516</v>
      </c>
      <c r="K664" s="98"/>
    </row>
    <row r="665" spans="1:11" ht="16.8" thickTop="1" thickBot="1" x14ac:dyDescent="0.35">
      <c r="A665" s="17">
        <v>60</v>
      </c>
      <c r="B665" s="526" t="s">
        <v>1050</v>
      </c>
      <c r="C665" s="61">
        <v>2228</v>
      </c>
      <c r="D665" s="96">
        <v>6516</v>
      </c>
      <c r="E665" s="99"/>
      <c r="F665" s="99"/>
      <c r="G665" s="98"/>
      <c r="H665" s="98"/>
      <c r="I665" s="98">
        <f t="shared" si="77"/>
        <v>0</v>
      </c>
      <c r="J665" s="98">
        <f t="shared" si="78"/>
        <v>6516</v>
      </c>
      <c r="K665" s="98"/>
    </row>
    <row r="666" spans="1:11" ht="16.8" thickTop="1" thickBot="1" x14ac:dyDescent="0.35">
      <c r="A666" s="17">
        <v>61</v>
      </c>
      <c r="B666" s="526" t="s">
        <v>850</v>
      </c>
      <c r="C666" s="61">
        <v>2230</v>
      </c>
      <c r="D666" s="96">
        <v>6516</v>
      </c>
      <c r="E666" s="107"/>
      <c r="F666" s="107"/>
      <c r="G666" s="106"/>
      <c r="H666" s="98"/>
      <c r="I666" s="98">
        <f t="shared" si="77"/>
        <v>0</v>
      </c>
      <c r="J666" s="98">
        <f t="shared" si="78"/>
        <v>6516</v>
      </c>
      <c r="K666" s="98"/>
    </row>
    <row r="667" spans="1:11" ht="16.8" thickTop="1" thickBot="1" x14ac:dyDescent="0.35">
      <c r="A667" s="17">
        <v>62</v>
      </c>
      <c r="B667" s="527" t="s">
        <v>1721</v>
      </c>
      <c r="C667" s="61">
        <v>2266</v>
      </c>
      <c r="D667" s="96">
        <v>6516</v>
      </c>
      <c r="E667" s="107"/>
      <c r="F667" s="107"/>
      <c r="G667" s="106"/>
      <c r="H667" s="98"/>
      <c r="I667" s="98">
        <f t="shared" ref="I667:I730" si="79">SUM(E667:H667)</f>
        <v>0</v>
      </c>
      <c r="J667" s="98">
        <f t="shared" ref="J667:J730" si="80">D667-I667</f>
        <v>6516</v>
      </c>
      <c r="K667" s="98"/>
    </row>
    <row r="668" spans="1:11" ht="16.8" thickTop="1" thickBot="1" x14ac:dyDescent="0.35">
      <c r="A668" s="17">
        <v>63</v>
      </c>
      <c r="B668" s="526" t="s">
        <v>1051</v>
      </c>
      <c r="C668" s="61">
        <v>2232</v>
      </c>
      <c r="D668" s="96">
        <v>6516</v>
      </c>
      <c r="E668" s="107"/>
      <c r="F668" s="107"/>
      <c r="G668" s="106"/>
      <c r="H668" s="98"/>
      <c r="I668" s="98">
        <f t="shared" si="79"/>
        <v>0</v>
      </c>
      <c r="J668" s="98">
        <f t="shared" si="80"/>
        <v>6516</v>
      </c>
      <c r="K668" s="98"/>
    </row>
    <row r="669" spans="1:11" ht="16.8" thickTop="1" thickBot="1" x14ac:dyDescent="0.35">
      <c r="A669" s="17">
        <v>64</v>
      </c>
      <c r="B669" s="526" t="s">
        <v>1052</v>
      </c>
      <c r="C669" s="61">
        <v>2233</v>
      </c>
      <c r="D669" s="96">
        <v>6516</v>
      </c>
      <c r="E669" s="108"/>
      <c r="F669" s="108"/>
      <c r="G669" s="106"/>
      <c r="H669" s="98"/>
      <c r="I669" s="98">
        <f t="shared" si="79"/>
        <v>0</v>
      </c>
      <c r="J669" s="98">
        <f t="shared" si="80"/>
        <v>6516</v>
      </c>
      <c r="K669" s="98"/>
    </row>
    <row r="670" spans="1:11" ht="16.8" thickTop="1" thickBot="1" x14ac:dyDescent="0.35">
      <c r="A670" s="17">
        <v>65</v>
      </c>
      <c r="B670" s="526" t="s">
        <v>1053</v>
      </c>
      <c r="C670" s="36">
        <v>2234</v>
      </c>
      <c r="D670" s="96">
        <v>6516</v>
      </c>
      <c r="E670" s="108"/>
      <c r="F670" s="108"/>
      <c r="G670" s="106"/>
      <c r="H670" s="98"/>
      <c r="I670" s="98">
        <f t="shared" si="79"/>
        <v>0</v>
      </c>
      <c r="J670" s="98">
        <f t="shared" si="80"/>
        <v>6516</v>
      </c>
      <c r="K670" s="98"/>
    </row>
    <row r="671" spans="1:11" ht="16.8" thickTop="1" thickBot="1" x14ac:dyDescent="0.35">
      <c r="A671" s="17">
        <v>66</v>
      </c>
      <c r="B671" s="526" t="s">
        <v>1054</v>
      </c>
      <c r="C671" s="36">
        <v>2237</v>
      </c>
      <c r="D671" s="96">
        <v>6516</v>
      </c>
      <c r="E671" s="107"/>
      <c r="F671" s="107"/>
      <c r="G671" s="106"/>
      <c r="H671" s="98"/>
      <c r="I671" s="98">
        <f t="shared" si="79"/>
        <v>0</v>
      </c>
      <c r="J671" s="98">
        <f t="shared" si="80"/>
        <v>6516</v>
      </c>
      <c r="K671" s="98"/>
    </row>
    <row r="672" spans="1:11" ht="16.8" thickTop="1" thickBot="1" x14ac:dyDescent="0.35">
      <c r="A672" s="17">
        <v>67</v>
      </c>
      <c r="B672" s="526" t="s">
        <v>1055</v>
      </c>
      <c r="C672" s="61">
        <v>2238</v>
      </c>
      <c r="D672" s="96">
        <v>6516</v>
      </c>
      <c r="E672" s="108"/>
      <c r="F672" s="108"/>
      <c r="G672" s="106"/>
      <c r="H672" s="98"/>
      <c r="I672" s="98">
        <f t="shared" si="79"/>
        <v>0</v>
      </c>
      <c r="J672" s="98">
        <f t="shared" si="80"/>
        <v>6516</v>
      </c>
      <c r="K672" s="98"/>
    </row>
    <row r="673" spans="1:11" ht="16.8" thickTop="1" thickBot="1" x14ac:dyDescent="0.35">
      <c r="A673" s="17">
        <v>68</v>
      </c>
      <c r="B673" s="526" t="s">
        <v>1056</v>
      </c>
      <c r="C673" s="61">
        <v>2239</v>
      </c>
      <c r="D673" s="96">
        <v>6516</v>
      </c>
      <c r="E673" s="107"/>
      <c r="F673" s="109"/>
      <c r="G673" s="106"/>
      <c r="H673" s="98"/>
      <c r="I673" s="98">
        <f t="shared" si="79"/>
        <v>0</v>
      </c>
      <c r="J673" s="98">
        <f t="shared" si="80"/>
        <v>6516</v>
      </c>
      <c r="K673" s="98"/>
    </row>
    <row r="674" spans="1:11" ht="16.8" thickTop="1" thickBot="1" x14ac:dyDescent="0.35">
      <c r="A674" s="17">
        <v>69</v>
      </c>
      <c r="B674" s="526" t="s">
        <v>1057</v>
      </c>
      <c r="C674" s="61">
        <v>2241</v>
      </c>
      <c r="D674" s="96">
        <v>6516</v>
      </c>
      <c r="E674" s="107"/>
      <c r="F674" s="109"/>
      <c r="G674" s="106"/>
      <c r="H674" s="98"/>
      <c r="I674" s="98">
        <f t="shared" si="79"/>
        <v>0</v>
      </c>
      <c r="J674" s="98">
        <f t="shared" si="80"/>
        <v>6516</v>
      </c>
      <c r="K674" s="98"/>
    </row>
    <row r="675" spans="1:11" ht="16.8" thickTop="1" thickBot="1" x14ac:dyDescent="0.35">
      <c r="A675" s="17">
        <v>70</v>
      </c>
      <c r="B675" s="526" t="s">
        <v>1058</v>
      </c>
      <c r="C675" s="36">
        <v>2242</v>
      </c>
      <c r="D675" s="96">
        <v>6516</v>
      </c>
      <c r="E675" s="108"/>
      <c r="F675" s="108"/>
      <c r="G675" s="106"/>
      <c r="H675" s="98"/>
      <c r="I675" s="98">
        <f t="shared" si="79"/>
        <v>0</v>
      </c>
      <c r="J675" s="98">
        <f t="shared" si="80"/>
        <v>6516</v>
      </c>
      <c r="K675" s="98"/>
    </row>
    <row r="676" spans="1:11" ht="16.8" thickTop="1" thickBot="1" x14ac:dyDescent="0.35">
      <c r="A676" s="17">
        <v>71</v>
      </c>
      <c r="B676" s="526" t="s">
        <v>1059</v>
      </c>
      <c r="C676" s="61">
        <v>2243</v>
      </c>
      <c r="D676" s="96">
        <v>6516</v>
      </c>
      <c r="E676" s="107"/>
      <c r="F676" s="107"/>
      <c r="G676" s="106"/>
      <c r="H676" s="98"/>
      <c r="I676" s="98">
        <f t="shared" si="79"/>
        <v>0</v>
      </c>
      <c r="J676" s="98">
        <f t="shared" si="80"/>
        <v>6516</v>
      </c>
      <c r="K676" s="98"/>
    </row>
    <row r="677" spans="1:11" ht="16.8" thickTop="1" thickBot="1" x14ac:dyDescent="0.35">
      <c r="A677" s="17">
        <v>72</v>
      </c>
      <c r="B677" s="526" t="s">
        <v>1060</v>
      </c>
      <c r="C677" s="61">
        <v>2752</v>
      </c>
      <c r="D677" s="96">
        <v>6516</v>
      </c>
      <c r="E677" s="108"/>
      <c r="F677" s="108"/>
      <c r="G677" s="106"/>
      <c r="H677" s="98"/>
      <c r="I677" s="98">
        <f t="shared" si="79"/>
        <v>0</v>
      </c>
      <c r="J677" s="98">
        <f t="shared" si="80"/>
        <v>6516</v>
      </c>
      <c r="K677" s="98"/>
    </row>
    <row r="678" spans="1:11" ht="16.8" thickTop="1" thickBot="1" x14ac:dyDescent="0.35">
      <c r="A678" s="17">
        <v>73</v>
      </c>
      <c r="B678" s="526" t="s">
        <v>1061</v>
      </c>
      <c r="C678" s="36">
        <v>2244</v>
      </c>
      <c r="D678" s="96">
        <v>6516</v>
      </c>
      <c r="E678" s="97"/>
      <c r="F678" s="97"/>
      <c r="G678" s="98"/>
      <c r="H678" s="98"/>
      <c r="I678" s="98">
        <f t="shared" si="79"/>
        <v>0</v>
      </c>
      <c r="J678" s="98">
        <f t="shared" si="80"/>
        <v>6516</v>
      </c>
      <c r="K678" s="98"/>
    </row>
    <row r="679" spans="1:11" ht="16.8" thickTop="1" thickBot="1" x14ac:dyDescent="0.35">
      <c r="A679" s="17">
        <v>74</v>
      </c>
      <c r="B679" s="526" t="s">
        <v>1062</v>
      </c>
      <c r="C679" s="36">
        <v>2245</v>
      </c>
      <c r="D679" s="96">
        <v>6516</v>
      </c>
      <c r="E679" s="99"/>
      <c r="F679" s="99"/>
      <c r="G679" s="98"/>
      <c r="H679" s="98"/>
      <c r="I679" s="98">
        <f t="shared" si="79"/>
        <v>0</v>
      </c>
      <c r="J679" s="98">
        <f t="shared" si="80"/>
        <v>6516</v>
      </c>
      <c r="K679" s="98"/>
    </row>
    <row r="680" spans="1:11" ht="16.8" thickTop="1" thickBot="1" x14ac:dyDescent="0.35">
      <c r="A680" s="17">
        <v>75</v>
      </c>
      <c r="B680" s="526" t="s">
        <v>1063</v>
      </c>
      <c r="C680" s="36">
        <v>2246</v>
      </c>
      <c r="D680" s="96">
        <v>6516</v>
      </c>
      <c r="E680" s="99"/>
      <c r="F680" s="99"/>
      <c r="G680" s="98"/>
      <c r="H680" s="98"/>
      <c r="I680" s="98">
        <f t="shared" si="79"/>
        <v>0</v>
      </c>
      <c r="J680" s="98">
        <f t="shared" si="80"/>
        <v>6516</v>
      </c>
      <c r="K680" s="98"/>
    </row>
    <row r="681" spans="1:11" ht="16.8" thickTop="1" thickBot="1" x14ac:dyDescent="0.35">
      <c r="A681" s="17">
        <v>76</v>
      </c>
      <c r="B681" s="526" t="s">
        <v>1064</v>
      </c>
      <c r="C681" s="36">
        <v>2247</v>
      </c>
      <c r="D681" s="96">
        <v>6516</v>
      </c>
      <c r="E681" s="97"/>
      <c r="F681" s="97"/>
      <c r="G681" s="98"/>
      <c r="H681" s="98"/>
      <c r="I681" s="98">
        <f t="shared" si="79"/>
        <v>0</v>
      </c>
      <c r="J681" s="98">
        <f t="shared" si="80"/>
        <v>6516</v>
      </c>
      <c r="K681" s="98"/>
    </row>
    <row r="682" spans="1:11" ht="16.8" thickTop="1" thickBot="1" x14ac:dyDescent="0.35">
      <c r="A682" s="17">
        <v>77</v>
      </c>
      <c r="B682" s="526" t="s">
        <v>1065</v>
      </c>
      <c r="C682" s="61">
        <v>2248</v>
      </c>
      <c r="D682" s="96">
        <v>6516</v>
      </c>
      <c r="E682" s="97"/>
      <c r="F682" s="97"/>
      <c r="G682" s="98"/>
      <c r="H682" s="98"/>
      <c r="I682" s="98">
        <f t="shared" si="79"/>
        <v>0</v>
      </c>
      <c r="J682" s="98">
        <f t="shared" si="80"/>
        <v>6516</v>
      </c>
      <c r="K682" s="98"/>
    </row>
    <row r="683" spans="1:11" ht="16.8" thickTop="1" thickBot="1" x14ac:dyDescent="0.35">
      <c r="A683" s="17">
        <v>78</v>
      </c>
      <c r="B683" s="526" t="s">
        <v>115</v>
      </c>
      <c r="C683" s="36">
        <v>2254</v>
      </c>
      <c r="D683" s="96">
        <v>6516</v>
      </c>
      <c r="E683" s="102"/>
      <c r="F683" s="103"/>
      <c r="G683" s="98"/>
      <c r="H683" s="98"/>
      <c r="I683" s="98">
        <f t="shared" si="79"/>
        <v>0</v>
      </c>
      <c r="J683" s="98">
        <f t="shared" si="80"/>
        <v>6516</v>
      </c>
      <c r="K683" s="98"/>
    </row>
    <row r="684" spans="1:11" ht="16.8" thickTop="1" thickBot="1" x14ac:dyDescent="0.35">
      <c r="A684" s="17">
        <v>79</v>
      </c>
      <c r="B684" s="526" t="s">
        <v>1066</v>
      </c>
      <c r="C684" s="36">
        <v>2255</v>
      </c>
      <c r="D684" s="96">
        <v>6516</v>
      </c>
      <c r="E684" s="97"/>
      <c r="F684" s="97"/>
      <c r="G684" s="98"/>
      <c r="H684" s="98"/>
      <c r="I684" s="98">
        <f t="shared" si="79"/>
        <v>0</v>
      </c>
      <c r="J684" s="98">
        <f t="shared" si="80"/>
        <v>6516</v>
      </c>
      <c r="K684" s="98"/>
    </row>
    <row r="685" spans="1:11" ht="16.8" thickTop="1" thickBot="1" x14ac:dyDescent="0.35">
      <c r="A685" s="17">
        <v>80</v>
      </c>
      <c r="B685" s="526" t="s">
        <v>1067</v>
      </c>
      <c r="C685" s="61">
        <v>2256</v>
      </c>
      <c r="D685" s="96">
        <v>6516</v>
      </c>
      <c r="E685" s="99"/>
      <c r="F685" s="99"/>
      <c r="G685" s="98"/>
      <c r="H685" s="98"/>
      <c r="I685" s="98">
        <f t="shared" si="79"/>
        <v>0</v>
      </c>
      <c r="J685" s="98">
        <f t="shared" si="80"/>
        <v>6516</v>
      </c>
      <c r="K685" s="98"/>
    </row>
    <row r="686" spans="1:11" ht="16.8" thickTop="1" thickBot="1" x14ac:dyDescent="0.35">
      <c r="A686" s="17">
        <v>81</v>
      </c>
      <c r="B686" s="526" t="s">
        <v>1068</v>
      </c>
      <c r="C686" s="61"/>
      <c r="D686" s="96">
        <v>6516</v>
      </c>
      <c r="E686" s="97"/>
      <c r="F686" s="97"/>
      <c r="G686" s="98"/>
      <c r="H686" s="98"/>
      <c r="I686" s="98">
        <f t="shared" si="79"/>
        <v>0</v>
      </c>
      <c r="J686" s="98">
        <f t="shared" si="80"/>
        <v>6516</v>
      </c>
      <c r="K686" s="98"/>
    </row>
    <row r="687" spans="1:11" ht="16.8" thickTop="1" thickBot="1" x14ac:dyDescent="0.35">
      <c r="A687" s="17">
        <v>82</v>
      </c>
      <c r="B687" s="526" t="s">
        <v>1069</v>
      </c>
      <c r="C687" s="61">
        <v>2257</v>
      </c>
      <c r="D687" s="96">
        <v>6516</v>
      </c>
      <c r="E687" s="100"/>
      <c r="F687" s="101"/>
      <c r="G687" s="98"/>
      <c r="H687" s="98"/>
      <c r="I687" s="98">
        <f t="shared" si="79"/>
        <v>0</v>
      </c>
      <c r="J687" s="98">
        <f t="shared" si="80"/>
        <v>6516</v>
      </c>
      <c r="K687" s="98"/>
    </row>
    <row r="688" spans="1:11" ht="16.8" thickTop="1" thickBot="1" x14ac:dyDescent="0.35">
      <c r="A688" s="17">
        <v>83</v>
      </c>
      <c r="B688" s="526" t="s">
        <v>1070</v>
      </c>
      <c r="C688" s="61">
        <v>2258</v>
      </c>
      <c r="D688" s="96">
        <v>6516</v>
      </c>
      <c r="E688" s="102"/>
      <c r="F688" s="103"/>
      <c r="G688" s="98"/>
      <c r="H688" s="98"/>
      <c r="I688" s="98">
        <f t="shared" si="79"/>
        <v>0</v>
      </c>
      <c r="J688" s="98">
        <f t="shared" si="80"/>
        <v>6516</v>
      </c>
      <c r="K688" s="98"/>
    </row>
    <row r="689" spans="1:11" ht="16.8" thickTop="1" thickBot="1" x14ac:dyDescent="0.35">
      <c r="A689" s="17">
        <v>84</v>
      </c>
      <c r="B689" s="526" t="s">
        <v>1071</v>
      </c>
      <c r="C689" s="36">
        <v>2260</v>
      </c>
      <c r="D689" s="96">
        <v>6516</v>
      </c>
      <c r="E689" s="99"/>
      <c r="F689" s="99"/>
      <c r="G689" s="98"/>
      <c r="H689" s="98"/>
      <c r="I689" s="98">
        <f t="shared" si="79"/>
        <v>0</v>
      </c>
      <c r="J689" s="98">
        <f t="shared" si="80"/>
        <v>6516</v>
      </c>
      <c r="K689" s="98"/>
    </row>
    <row r="690" spans="1:11" ht="16.8" thickTop="1" thickBot="1" x14ac:dyDescent="0.35">
      <c r="A690" s="17">
        <v>85</v>
      </c>
      <c r="B690" s="526" t="s">
        <v>1072</v>
      </c>
      <c r="C690" s="36">
        <v>2261</v>
      </c>
      <c r="D690" s="96">
        <v>6516</v>
      </c>
      <c r="E690" s="102"/>
      <c r="F690" s="103"/>
      <c r="G690" s="98"/>
      <c r="H690" s="98"/>
      <c r="I690" s="98">
        <f t="shared" si="79"/>
        <v>0</v>
      </c>
      <c r="J690" s="98">
        <f t="shared" si="80"/>
        <v>6516</v>
      </c>
      <c r="K690" s="98"/>
    </row>
    <row r="691" spans="1:11" ht="16.8" thickTop="1" thickBot="1" x14ac:dyDescent="0.35">
      <c r="A691" s="17">
        <v>86</v>
      </c>
      <c r="B691" s="526" t="s">
        <v>1073</v>
      </c>
      <c r="C691" s="61">
        <v>2262</v>
      </c>
      <c r="D691" s="96">
        <v>6516</v>
      </c>
      <c r="E691" s="102"/>
      <c r="F691" s="103"/>
      <c r="G691" s="98"/>
      <c r="H691" s="98"/>
      <c r="I691" s="98">
        <f t="shared" si="79"/>
        <v>0</v>
      </c>
      <c r="J691" s="98">
        <f t="shared" si="80"/>
        <v>6516</v>
      </c>
      <c r="K691" s="98"/>
    </row>
    <row r="692" spans="1:11" ht="16.8" thickTop="1" thickBot="1" x14ac:dyDescent="0.35">
      <c r="A692" s="17">
        <v>87</v>
      </c>
      <c r="B692" s="526" t="s">
        <v>1074</v>
      </c>
      <c r="C692" s="36">
        <v>2263</v>
      </c>
      <c r="D692" s="96">
        <v>6516</v>
      </c>
      <c r="E692" s="100"/>
      <c r="F692" s="101"/>
      <c r="G692" s="98"/>
      <c r="H692" s="98"/>
      <c r="I692" s="98">
        <f t="shared" si="79"/>
        <v>0</v>
      </c>
      <c r="J692" s="98">
        <f t="shared" si="80"/>
        <v>6516</v>
      </c>
      <c r="K692" s="98"/>
    </row>
    <row r="693" spans="1:11" ht="16.8" thickTop="1" thickBot="1" x14ac:dyDescent="0.35">
      <c r="A693" s="17">
        <v>88</v>
      </c>
      <c r="B693" s="526" t="s">
        <v>1075</v>
      </c>
      <c r="C693" s="61">
        <v>2264</v>
      </c>
      <c r="D693" s="96">
        <v>6516</v>
      </c>
      <c r="E693" s="99"/>
      <c r="F693" s="99"/>
      <c r="G693" s="99"/>
      <c r="H693" s="98"/>
      <c r="I693" s="98">
        <f t="shared" si="79"/>
        <v>0</v>
      </c>
      <c r="J693" s="98">
        <f t="shared" si="80"/>
        <v>6516</v>
      </c>
      <c r="K693" s="98"/>
    </row>
    <row r="694" spans="1:11" ht="16.8" thickTop="1" thickBot="1" x14ac:dyDescent="0.35">
      <c r="A694" s="17">
        <v>89</v>
      </c>
      <c r="B694" s="526" t="s">
        <v>1076</v>
      </c>
      <c r="C694" s="61">
        <v>2266</v>
      </c>
      <c r="D694" s="96">
        <v>6516</v>
      </c>
      <c r="E694" s="97"/>
      <c r="F694" s="97"/>
      <c r="G694" s="97"/>
      <c r="H694" s="98"/>
      <c r="I694" s="98">
        <f t="shared" si="79"/>
        <v>0</v>
      </c>
      <c r="J694" s="98">
        <f t="shared" si="80"/>
        <v>6516</v>
      </c>
      <c r="K694" s="98"/>
    </row>
    <row r="695" spans="1:11" ht="16.8" thickTop="1" thickBot="1" x14ac:dyDescent="0.35">
      <c r="A695" s="17">
        <v>90</v>
      </c>
      <c r="B695" s="526" t="s">
        <v>1077</v>
      </c>
      <c r="C695" s="61">
        <v>2268</v>
      </c>
      <c r="D695" s="96">
        <v>6516</v>
      </c>
      <c r="E695" s="99"/>
      <c r="F695" s="99"/>
      <c r="G695" s="99"/>
      <c r="H695" s="98"/>
      <c r="I695" s="98">
        <f t="shared" si="79"/>
        <v>0</v>
      </c>
      <c r="J695" s="98">
        <f t="shared" si="80"/>
        <v>6516</v>
      </c>
      <c r="K695" s="98"/>
    </row>
    <row r="696" spans="1:11" ht="16.8" thickTop="1" thickBot="1" x14ac:dyDescent="0.35">
      <c r="A696" s="17">
        <v>91</v>
      </c>
      <c r="B696" s="526" t="s">
        <v>1078</v>
      </c>
      <c r="C696" s="61">
        <v>2269</v>
      </c>
      <c r="D696" s="96">
        <v>6516</v>
      </c>
      <c r="E696" s="102"/>
      <c r="F696" s="103"/>
      <c r="G696" s="98"/>
      <c r="H696" s="98"/>
      <c r="I696" s="98">
        <f t="shared" si="79"/>
        <v>0</v>
      </c>
      <c r="J696" s="98">
        <f t="shared" si="80"/>
        <v>6516</v>
      </c>
      <c r="K696" s="98"/>
    </row>
    <row r="697" spans="1:11" ht="16.8" thickTop="1" thickBot="1" x14ac:dyDescent="0.35">
      <c r="A697" s="17">
        <v>92</v>
      </c>
      <c r="B697" s="526" t="s">
        <v>1079</v>
      </c>
      <c r="C697" s="36">
        <v>2270</v>
      </c>
      <c r="D697" s="96">
        <v>6516</v>
      </c>
      <c r="E697" s="102"/>
      <c r="F697" s="103"/>
      <c r="G697" s="98"/>
      <c r="H697" s="98"/>
      <c r="I697" s="98">
        <f t="shared" si="79"/>
        <v>0</v>
      </c>
      <c r="J697" s="98">
        <f t="shared" si="80"/>
        <v>6516</v>
      </c>
      <c r="K697" s="98"/>
    </row>
    <row r="698" spans="1:11" ht="16.8" thickTop="1" thickBot="1" x14ac:dyDescent="0.35">
      <c r="A698" s="17">
        <v>93</v>
      </c>
      <c r="B698" s="526" t="s">
        <v>1080</v>
      </c>
      <c r="C698" s="61">
        <v>2272</v>
      </c>
      <c r="D698" s="96">
        <v>6516</v>
      </c>
      <c r="E698" s="102"/>
      <c r="F698" s="103"/>
      <c r="G698" s="98"/>
      <c r="H698" s="98"/>
      <c r="I698" s="98">
        <f t="shared" si="79"/>
        <v>0</v>
      </c>
      <c r="J698" s="98">
        <f t="shared" si="80"/>
        <v>6516</v>
      </c>
      <c r="K698" s="98"/>
    </row>
    <row r="699" spans="1:11" ht="16.8" thickTop="1" thickBot="1" x14ac:dyDescent="0.35">
      <c r="A699" s="17">
        <v>94</v>
      </c>
      <c r="B699" s="526" t="s">
        <v>1081</v>
      </c>
      <c r="C699" s="36">
        <v>2273</v>
      </c>
      <c r="D699" s="96">
        <v>6516</v>
      </c>
      <c r="E699" s="97"/>
      <c r="F699" s="97"/>
      <c r="G699" s="98"/>
      <c r="H699" s="98"/>
      <c r="I699" s="98">
        <f t="shared" si="79"/>
        <v>0</v>
      </c>
      <c r="J699" s="98">
        <f t="shared" si="80"/>
        <v>6516</v>
      </c>
      <c r="K699" s="98"/>
    </row>
    <row r="700" spans="1:11" ht="16.8" thickTop="1" thickBot="1" x14ac:dyDescent="0.35">
      <c r="A700" s="17">
        <v>95</v>
      </c>
      <c r="B700" s="526" t="s">
        <v>1082</v>
      </c>
      <c r="C700" s="61">
        <v>2274</v>
      </c>
      <c r="D700" s="96">
        <v>6516</v>
      </c>
      <c r="E700" s="100"/>
      <c r="F700" s="100"/>
      <c r="G700" s="98"/>
      <c r="H700" s="98"/>
      <c r="I700" s="98">
        <f t="shared" si="79"/>
        <v>0</v>
      </c>
      <c r="J700" s="98">
        <f t="shared" si="80"/>
        <v>6516</v>
      </c>
      <c r="K700" s="98"/>
    </row>
    <row r="701" spans="1:11" ht="16.8" thickTop="1" thickBot="1" x14ac:dyDescent="0.35">
      <c r="A701" s="17">
        <v>96</v>
      </c>
      <c r="B701" s="526" t="s">
        <v>1083</v>
      </c>
      <c r="C701" s="61">
        <v>2278</v>
      </c>
      <c r="D701" s="96">
        <v>6516</v>
      </c>
      <c r="E701" s="100"/>
      <c r="F701" s="100"/>
      <c r="G701" s="98"/>
      <c r="H701" s="98"/>
      <c r="I701" s="98">
        <f t="shared" si="79"/>
        <v>0</v>
      </c>
      <c r="J701" s="98">
        <f t="shared" si="80"/>
        <v>6516</v>
      </c>
      <c r="K701" s="98"/>
    </row>
    <row r="702" spans="1:11" ht="16.8" thickTop="1" thickBot="1" x14ac:dyDescent="0.35">
      <c r="A702" s="17">
        <v>97</v>
      </c>
      <c r="B702" s="526" t="s">
        <v>1084</v>
      </c>
      <c r="C702" s="61">
        <v>2279</v>
      </c>
      <c r="D702" s="96">
        <v>6516</v>
      </c>
      <c r="E702" s="97"/>
      <c r="F702" s="97"/>
      <c r="G702" s="98"/>
      <c r="H702" s="98"/>
      <c r="I702" s="98">
        <f t="shared" si="79"/>
        <v>0</v>
      </c>
      <c r="J702" s="98">
        <f t="shared" si="80"/>
        <v>6516</v>
      </c>
      <c r="K702" s="98"/>
    </row>
    <row r="703" spans="1:11" ht="16.8" thickTop="1" thickBot="1" x14ac:dyDescent="0.35">
      <c r="A703" s="17">
        <v>98</v>
      </c>
      <c r="B703" s="526" t="s">
        <v>1085</v>
      </c>
      <c r="C703" s="61">
        <v>2281</v>
      </c>
      <c r="D703" s="96">
        <v>6516</v>
      </c>
      <c r="E703" s="97"/>
      <c r="F703" s="97"/>
      <c r="G703" s="98"/>
      <c r="H703" s="98"/>
      <c r="I703" s="98">
        <f t="shared" si="79"/>
        <v>0</v>
      </c>
      <c r="J703" s="98">
        <f t="shared" si="80"/>
        <v>6516</v>
      </c>
      <c r="K703" s="98"/>
    </row>
    <row r="704" spans="1:11" ht="16.8" thickTop="1" thickBot="1" x14ac:dyDescent="0.35">
      <c r="A704" s="17">
        <v>99</v>
      </c>
      <c r="B704" s="526" t="s">
        <v>1086</v>
      </c>
      <c r="C704" s="61">
        <v>2282</v>
      </c>
      <c r="D704" s="96">
        <v>6516</v>
      </c>
      <c r="E704" s="97"/>
      <c r="F704" s="97"/>
      <c r="G704" s="98"/>
      <c r="H704" s="98"/>
      <c r="I704" s="98">
        <f t="shared" si="79"/>
        <v>0</v>
      </c>
      <c r="J704" s="98">
        <f t="shared" si="80"/>
        <v>6516</v>
      </c>
      <c r="K704" s="98"/>
    </row>
    <row r="705" spans="1:11" ht="16.8" thickTop="1" thickBot="1" x14ac:dyDescent="0.35">
      <c r="A705" s="17">
        <v>100</v>
      </c>
      <c r="B705" s="526" t="s">
        <v>1087</v>
      </c>
      <c r="C705" s="36">
        <v>2286</v>
      </c>
      <c r="D705" s="96">
        <v>6516</v>
      </c>
      <c r="E705" s="102"/>
      <c r="F705" s="103"/>
      <c r="G705" s="98"/>
      <c r="H705" s="98"/>
      <c r="I705" s="98">
        <f t="shared" si="79"/>
        <v>0</v>
      </c>
      <c r="J705" s="98">
        <f t="shared" si="80"/>
        <v>6516</v>
      </c>
      <c r="K705" s="98"/>
    </row>
    <row r="706" spans="1:11" ht="16.8" thickTop="1" thickBot="1" x14ac:dyDescent="0.35">
      <c r="A706" s="17">
        <v>101</v>
      </c>
      <c r="B706" s="528" t="s">
        <v>1088</v>
      </c>
      <c r="C706" s="61">
        <v>2287</v>
      </c>
      <c r="D706" s="96">
        <v>6516</v>
      </c>
      <c r="E706" s="99"/>
      <c r="F706" s="99"/>
      <c r="G706" s="98"/>
      <c r="H706" s="98"/>
      <c r="I706" s="98">
        <f t="shared" si="79"/>
        <v>0</v>
      </c>
      <c r="J706" s="98">
        <f t="shared" si="80"/>
        <v>6516</v>
      </c>
      <c r="K706" s="98"/>
    </row>
    <row r="707" spans="1:11" ht="16.8" thickTop="1" thickBot="1" x14ac:dyDescent="0.35">
      <c r="A707" s="17">
        <v>102</v>
      </c>
      <c r="B707" s="526" t="s">
        <v>1089</v>
      </c>
      <c r="C707" s="36">
        <v>2289</v>
      </c>
      <c r="D707" s="96">
        <v>6516</v>
      </c>
      <c r="E707" s="97"/>
      <c r="F707" s="97"/>
      <c r="G707" s="98"/>
      <c r="H707" s="98"/>
      <c r="I707" s="98">
        <f t="shared" si="79"/>
        <v>0</v>
      </c>
      <c r="J707" s="98">
        <f t="shared" si="80"/>
        <v>6516</v>
      </c>
      <c r="K707" s="98"/>
    </row>
    <row r="708" spans="1:11" ht="16.8" thickTop="1" thickBot="1" x14ac:dyDescent="0.35">
      <c r="A708" s="17">
        <v>103</v>
      </c>
      <c r="B708" s="526" t="s">
        <v>1090</v>
      </c>
      <c r="C708" s="61">
        <v>2290</v>
      </c>
      <c r="D708" s="96">
        <v>6516</v>
      </c>
      <c r="E708" s="102"/>
      <c r="F708" s="102"/>
      <c r="G708" s="98"/>
      <c r="H708" s="98"/>
      <c r="I708" s="98">
        <f t="shared" si="79"/>
        <v>0</v>
      </c>
      <c r="J708" s="98">
        <f t="shared" si="80"/>
        <v>6516</v>
      </c>
      <c r="K708" s="98"/>
    </row>
    <row r="709" spans="1:11" ht="16.8" thickTop="1" thickBot="1" x14ac:dyDescent="0.35">
      <c r="A709" s="17">
        <v>104</v>
      </c>
      <c r="B709" s="526" t="s">
        <v>1091</v>
      </c>
      <c r="C709" s="36">
        <v>2291</v>
      </c>
      <c r="D709" s="96">
        <v>6516</v>
      </c>
      <c r="E709" s="99"/>
      <c r="F709" s="99"/>
      <c r="G709" s="98"/>
      <c r="H709" s="98"/>
      <c r="I709" s="98">
        <f t="shared" si="79"/>
        <v>0</v>
      </c>
      <c r="J709" s="98">
        <f t="shared" si="80"/>
        <v>6516</v>
      </c>
      <c r="K709" s="98"/>
    </row>
    <row r="710" spans="1:11" ht="16.8" thickTop="1" thickBot="1" x14ac:dyDescent="0.35">
      <c r="A710" s="17">
        <v>105</v>
      </c>
      <c r="B710" s="526" t="s">
        <v>1092</v>
      </c>
      <c r="C710" s="36">
        <v>2292</v>
      </c>
      <c r="D710" s="96">
        <v>6516</v>
      </c>
      <c r="E710" s="97"/>
      <c r="F710" s="97"/>
      <c r="G710" s="98"/>
      <c r="H710" s="98"/>
      <c r="I710" s="98">
        <f t="shared" si="79"/>
        <v>0</v>
      </c>
      <c r="J710" s="98">
        <f t="shared" si="80"/>
        <v>6516</v>
      </c>
      <c r="K710" s="98"/>
    </row>
    <row r="711" spans="1:11" ht="16.8" thickTop="1" thickBot="1" x14ac:dyDescent="0.35">
      <c r="A711" s="17">
        <v>106</v>
      </c>
      <c r="B711" s="526" t="s">
        <v>1093</v>
      </c>
      <c r="C711" s="61">
        <v>2296</v>
      </c>
      <c r="D711" s="96">
        <v>6516</v>
      </c>
      <c r="E711" s="97"/>
      <c r="F711" s="97"/>
      <c r="G711" s="98"/>
      <c r="H711" s="98"/>
      <c r="I711" s="98">
        <f t="shared" si="79"/>
        <v>0</v>
      </c>
      <c r="J711" s="98">
        <f t="shared" si="80"/>
        <v>6516</v>
      </c>
      <c r="K711" s="98"/>
    </row>
    <row r="712" spans="1:11" ht="16.8" thickTop="1" thickBot="1" x14ac:dyDescent="0.35">
      <c r="A712" s="17">
        <v>107</v>
      </c>
      <c r="B712" s="526" t="s">
        <v>1094</v>
      </c>
      <c r="C712" s="36">
        <v>2297</v>
      </c>
      <c r="D712" s="96">
        <v>6516</v>
      </c>
      <c r="E712" s="97"/>
      <c r="F712" s="97"/>
      <c r="G712" s="98"/>
      <c r="H712" s="98"/>
      <c r="I712" s="98">
        <f t="shared" si="79"/>
        <v>0</v>
      </c>
      <c r="J712" s="98">
        <f t="shared" si="80"/>
        <v>6516</v>
      </c>
      <c r="K712" s="98"/>
    </row>
    <row r="713" spans="1:11" ht="16.8" thickTop="1" thickBot="1" x14ac:dyDescent="0.35">
      <c r="A713" s="17">
        <v>108</v>
      </c>
      <c r="B713" s="526" t="s">
        <v>1095</v>
      </c>
      <c r="C713" s="61">
        <v>2298</v>
      </c>
      <c r="D713" s="96">
        <v>6516</v>
      </c>
      <c r="E713" s="97"/>
      <c r="F713" s="97"/>
      <c r="G713" s="98"/>
      <c r="H713" s="98"/>
      <c r="I713" s="98">
        <f t="shared" si="79"/>
        <v>0</v>
      </c>
      <c r="J713" s="98">
        <f t="shared" si="80"/>
        <v>6516</v>
      </c>
      <c r="K713" s="98"/>
    </row>
    <row r="714" spans="1:11" ht="16.8" thickTop="1" thickBot="1" x14ac:dyDescent="0.35">
      <c r="A714" s="17">
        <v>109</v>
      </c>
      <c r="B714" s="526" t="s">
        <v>1096</v>
      </c>
      <c r="C714" s="61">
        <v>2299</v>
      </c>
      <c r="D714" s="96">
        <v>6516</v>
      </c>
      <c r="E714" s="100"/>
      <c r="F714" s="101"/>
      <c r="G714" s="98"/>
      <c r="H714" s="98"/>
      <c r="I714" s="98">
        <f t="shared" si="79"/>
        <v>0</v>
      </c>
      <c r="J714" s="98">
        <f t="shared" si="80"/>
        <v>6516</v>
      </c>
      <c r="K714" s="98"/>
    </row>
    <row r="715" spans="1:11" ht="16.8" thickTop="1" thickBot="1" x14ac:dyDescent="0.35">
      <c r="A715" s="17">
        <v>110</v>
      </c>
      <c r="B715" s="526" t="s">
        <v>1097</v>
      </c>
      <c r="C715" s="61">
        <v>2300</v>
      </c>
      <c r="D715" s="96">
        <v>6516</v>
      </c>
      <c r="E715" s="99"/>
      <c r="F715" s="99"/>
      <c r="G715" s="98"/>
      <c r="H715" s="98"/>
      <c r="I715" s="98">
        <f t="shared" si="79"/>
        <v>0</v>
      </c>
      <c r="J715" s="98">
        <f t="shared" si="80"/>
        <v>6516</v>
      </c>
      <c r="K715" s="98"/>
    </row>
    <row r="716" spans="1:11" ht="16.8" thickTop="1" thickBot="1" x14ac:dyDescent="0.35">
      <c r="A716" s="17">
        <v>111</v>
      </c>
      <c r="B716" s="526" t="s">
        <v>1098</v>
      </c>
      <c r="C716" s="61">
        <v>2301</v>
      </c>
      <c r="D716" s="96">
        <v>6516</v>
      </c>
      <c r="E716" s="102"/>
      <c r="F716" s="103"/>
      <c r="G716" s="98"/>
      <c r="H716" s="98"/>
      <c r="I716" s="98">
        <f t="shared" si="79"/>
        <v>0</v>
      </c>
      <c r="J716" s="98">
        <f t="shared" si="80"/>
        <v>6516</v>
      </c>
      <c r="K716" s="98"/>
    </row>
    <row r="717" spans="1:11" ht="16.8" thickTop="1" thickBot="1" x14ac:dyDescent="0.35">
      <c r="A717" s="17">
        <v>112</v>
      </c>
      <c r="B717" s="526" t="s">
        <v>1099</v>
      </c>
      <c r="C717" s="61">
        <v>2661</v>
      </c>
      <c r="D717" s="96">
        <v>6516</v>
      </c>
      <c r="E717" s="97"/>
      <c r="F717" s="97"/>
      <c r="G717" s="98"/>
      <c r="H717" s="98"/>
      <c r="I717" s="98">
        <f t="shared" si="79"/>
        <v>0</v>
      </c>
      <c r="J717" s="98">
        <f t="shared" si="80"/>
        <v>6516</v>
      </c>
      <c r="K717" s="98"/>
    </row>
    <row r="718" spans="1:11" ht="16.8" thickTop="1" thickBot="1" x14ac:dyDescent="0.35">
      <c r="A718" s="17">
        <v>113</v>
      </c>
      <c r="B718" s="526" t="s">
        <v>1100</v>
      </c>
      <c r="C718" s="61">
        <v>1874</v>
      </c>
      <c r="D718" s="96">
        <v>6516</v>
      </c>
      <c r="E718" s="99"/>
      <c r="F718" s="99"/>
      <c r="G718" s="98"/>
      <c r="H718" s="98"/>
      <c r="I718" s="98">
        <f t="shared" si="79"/>
        <v>0</v>
      </c>
      <c r="J718" s="98">
        <f t="shared" si="80"/>
        <v>6516</v>
      </c>
      <c r="K718" s="98"/>
    </row>
    <row r="719" spans="1:11" ht="16.8" thickTop="1" thickBot="1" x14ac:dyDescent="0.35">
      <c r="A719" s="17">
        <v>114</v>
      </c>
      <c r="B719" s="526" t="s">
        <v>1101</v>
      </c>
      <c r="C719" s="36">
        <v>2307</v>
      </c>
      <c r="D719" s="96">
        <v>6516</v>
      </c>
      <c r="E719" s="100"/>
      <c r="F719" s="101"/>
      <c r="G719" s="98"/>
      <c r="H719" s="98"/>
      <c r="I719" s="98">
        <f t="shared" si="79"/>
        <v>0</v>
      </c>
      <c r="J719" s="98">
        <f t="shared" si="80"/>
        <v>6516</v>
      </c>
      <c r="K719" s="98"/>
    </row>
    <row r="720" spans="1:11" ht="16.8" thickTop="1" thickBot="1" x14ac:dyDescent="0.35">
      <c r="A720" s="17">
        <v>115</v>
      </c>
      <c r="B720" s="526" t="s">
        <v>1102</v>
      </c>
      <c r="C720" s="61">
        <v>2308</v>
      </c>
      <c r="D720" s="96">
        <v>6516</v>
      </c>
      <c r="E720" s="100"/>
      <c r="F720" s="101"/>
      <c r="G720" s="98"/>
      <c r="H720" s="98"/>
      <c r="I720" s="98">
        <f t="shared" si="79"/>
        <v>0</v>
      </c>
      <c r="J720" s="98">
        <f t="shared" si="80"/>
        <v>6516</v>
      </c>
      <c r="K720" s="98"/>
    </row>
    <row r="721" spans="1:11" ht="16.8" thickTop="1" thickBot="1" x14ac:dyDescent="0.35">
      <c r="A721" s="17">
        <v>116</v>
      </c>
      <c r="B721" s="526" t="s">
        <v>1103</v>
      </c>
      <c r="C721" s="61">
        <v>2309</v>
      </c>
      <c r="D721" s="96">
        <v>6516</v>
      </c>
      <c r="E721" s="99"/>
      <c r="F721" s="99"/>
      <c r="G721" s="98"/>
      <c r="H721" s="98"/>
      <c r="I721" s="98">
        <f t="shared" si="79"/>
        <v>0</v>
      </c>
      <c r="J721" s="98">
        <f t="shared" si="80"/>
        <v>6516</v>
      </c>
      <c r="K721" s="98"/>
    </row>
    <row r="722" spans="1:11" ht="16.8" thickTop="1" thickBot="1" x14ac:dyDescent="0.35">
      <c r="A722" s="17">
        <v>117</v>
      </c>
      <c r="B722" s="526" t="s">
        <v>1104</v>
      </c>
      <c r="C722" s="36">
        <v>2310</v>
      </c>
      <c r="D722" s="96">
        <v>6516</v>
      </c>
      <c r="E722" s="100"/>
      <c r="F722" s="100"/>
      <c r="G722" s="98"/>
      <c r="H722" s="98"/>
      <c r="I722" s="98">
        <f t="shared" si="79"/>
        <v>0</v>
      </c>
      <c r="J722" s="98">
        <f t="shared" si="80"/>
        <v>6516</v>
      </c>
      <c r="K722" s="98"/>
    </row>
    <row r="723" spans="1:11" ht="16.8" thickTop="1" thickBot="1" x14ac:dyDescent="0.35">
      <c r="A723" s="17">
        <v>118</v>
      </c>
      <c r="B723" s="526" t="s">
        <v>1105</v>
      </c>
      <c r="C723" s="36">
        <v>1420</v>
      </c>
      <c r="D723" s="96">
        <v>6516</v>
      </c>
      <c r="E723" s="97"/>
      <c r="F723" s="97"/>
      <c r="G723" s="98"/>
      <c r="H723" s="98"/>
      <c r="I723" s="98">
        <f t="shared" si="79"/>
        <v>0</v>
      </c>
      <c r="J723" s="98">
        <f t="shared" si="80"/>
        <v>6516</v>
      </c>
      <c r="K723" s="98"/>
    </row>
    <row r="724" spans="1:11" ht="16.8" thickTop="1" thickBot="1" x14ac:dyDescent="0.35">
      <c r="A724" s="17">
        <v>119</v>
      </c>
      <c r="B724" s="526" t="s">
        <v>1106</v>
      </c>
      <c r="C724" s="36">
        <v>2311</v>
      </c>
      <c r="D724" s="96">
        <v>6516</v>
      </c>
      <c r="E724" s="97"/>
      <c r="F724" s="97"/>
      <c r="G724" s="98"/>
      <c r="H724" s="98"/>
      <c r="I724" s="98">
        <f t="shared" si="79"/>
        <v>0</v>
      </c>
      <c r="J724" s="98">
        <f t="shared" si="80"/>
        <v>6516</v>
      </c>
      <c r="K724" s="98"/>
    </row>
    <row r="725" spans="1:11" ht="16.8" thickTop="1" thickBot="1" x14ac:dyDescent="0.35">
      <c r="A725" s="17">
        <v>120</v>
      </c>
      <c r="B725" s="526" t="s">
        <v>1107</v>
      </c>
      <c r="C725" s="36">
        <v>2313</v>
      </c>
      <c r="D725" s="96">
        <v>6516</v>
      </c>
      <c r="E725" s="102"/>
      <c r="F725" s="103"/>
      <c r="G725" s="98"/>
      <c r="H725" s="98"/>
      <c r="I725" s="98">
        <f t="shared" si="79"/>
        <v>0</v>
      </c>
      <c r="J725" s="98">
        <f t="shared" si="80"/>
        <v>6516</v>
      </c>
      <c r="K725" s="98"/>
    </row>
    <row r="726" spans="1:11" ht="16.8" thickTop="1" thickBot="1" x14ac:dyDescent="0.35">
      <c r="A726" s="17">
        <v>121</v>
      </c>
      <c r="B726" s="526" t="s">
        <v>1108</v>
      </c>
      <c r="C726" s="36">
        <v>1860</v>
      </c>
      <c r="D726" s="96">
        <v>6516</v>
      </c>
      <c r="E726" s="99"/>
      <c r="F726" s="99"/>
      <c r="G726" s="98"/>
      <c r="H726" s="98"/>
      <c r="I726" s="98">
        <f t="shared" si="79"/>
        <v>0</v>
      </c>
      <c r="J726" s="98">
        <f t="shared" si="80"/>
        <v>6516</v>
      </c>
      <c r="K726" s="98"/>
    </row>
    <row r="727" spans="1:11" ht="16.8" thickTop="1" thickBot="1" x14ac:dyDescent="0.35">
      <c r="A727" s="17">
        <v>122</v>
      </c>
      <c r="B727" s="526" t="s">
        <v>1109</v>
      </c>
      <c r="C727" s="61">
        <v>2317</v>
      </c>
      <c r="D727" s="96">
        <v>6516</v>
      </c>
      <c r="E727" s="100"/>
      <c r="F727" s="100"/>
      <c r="G727" s="98"/>
      <c r="H727" s="98"/>
      <c r="I727" s="98">
        <f t="shared" si="79"/>
        <v>0</v>
      </c>
      <c r="J727" s="98">
        <f t="shared" si="80"/>
        <v>6516</v>
      </c>
      <c r="K727" s="98"/>
    </row>
    <row r="728" spans="1:11" ht="16.8" thickTop="1" thickBot="1" x14ac:dyDescent="0.35">
      <c r="A728" s="17">
        <v>123</v>
      </c>
      <c r="B728" s="526" t="s">
        <v>1110</v>
      </c>
      <c r="C728" s="36">
        <v>2319</v>
      </c>
      <c r="D728" s="96">
        <v>6516</v>
      </c>
      <c r="E728" s="97"/>
      <c r="F728" s="97"/>
      <c r="G728" s="98"/>
      <c r="H728" s="98"/>
      <c r="I728" s="98">
        <f t="shared" si="79"/>
        <v>0</v>
      </c>
      <c r="J728" s="98">
        <f t="shared" si="80"/>
        <v>6516</v>
      </c>
      <c r="K728" s="98"/>
    </row>
    <row r="729" spans="1:11" ht="16.8" thickTop="1" thickBot="1" x14ac:dyDescent="0.35">
      <c r="A729" s="17">
        <v>124</v>
      </c>
      <c r="B729" s="526" t="s">
        <v>1111</v>
      </c>
      <c r="C729" s="61">
        <v>2321</v>
      </c>
      <c r="D729" s="96">
        <v>6516</v>
      </c>
      <c r="E729" s="97"/>
      <c r="F729" s="97"/>
      <c r="G729" s="98"/>
      <c r="H729" s="98"/>
      <c r="I729" s="98">
        <f t="shared" si="79"/>
        <v>0</v>
      </c>
      <c r="J729" s="98">
        <f t="shared" si="80"/>
        <v>6516</v>
      </c>
      <c r="K729" s="98"/>
    </row>
    <row r="730" spans="1:11" ht="16.8" thickTop="1" thickBot="1" x14ac:dyDescent="0.35">
      <c r="A730" s="17">
        <v>125</v>
      </c>
      <c r="B730" s="526" t="s">
        <v>1112</v>
      </c>
      <c r="C730" s="36"/>
      <c r="D730" s="96">
        <v>6516</v>
      </c>
      <c r="E730" s="100"/>
      <c r="F730" s="100"/>
      <c r="G730" s="98"/>
      <c r="H730" s="98"/>
      <c r="I730" s="98">
        <f t="shared" si="79"/>
        <v>0</v>
      </c>
      <c r="J730" s="98">
        <f t="shared" si="80"/>
        <v>6516</v>
      </c>
      <c r="K730" s="98"/>
    </row>
    <row r="731" spans="1:11" ht="16.8" thickTop="1" thickBot="1" x14ac:dyDescent="0.35">
      <c r="A731" s="17">
        <v>126</v>
      </c>
      <c r="B731" s="526" t="s">
        <v>1113</v>
      </c>
      <c r="C731" s="36">
        <v>2323</v>
      </c>
      <c r="D731" s="96">
        <v>6516</v>
      </c>
      <c r="E731" s="102"/>
      <c r="F731" s="103"/>
      <c r="G731" s="98"/>
      <c r="H731" s="98"/>
      <c r="I731" s="98">
        <f t="shared" ref="I731:I750" si="81">SUM(E731:H731)</f>
        <v>0</v>
      </c>
      <c r="J731" s="98">
        <f t="shared" ref="J731:J750" si="82">D731-I731</f>
        <v>6516</v>
      </c>
      <c r="K731" s="98"/>
    </row>
    <row r="732" spans="1:11" ht="16.8" thickTop="1" thickBot="1" x14ac:dyDescent="0.35">
      <c r="A732" s="17">
        <v>127</v>
      </c>
      <c r="B732" s="526" t="s">
        <v>1114</v>
      </c>
      <c r="C732" s="36">
        <v>2324</v>
      </c>
      <c r="D732" s="96">
        <v>6516</v>
      </c>
      <c r="E732" s="97"/>
      <c r="F732" s="97"/>
      <c r="G732" s="98"/>
      <c r="H732" s="98"/>
      <c r="I732" s="98">
        <f t="shared" si="81"/>
        <v>0</v>
      </c>
      <c r="J732" s="98">
        <f t="shared" si="82"/>
        <v>6516</v>
      </c>
      <c r="K732" s="98"/>
    </row>
    <row r="733" spans="1:11" ht="16.8" thickTop="1" thickBot="1" x14ac:dyDescent="0.35">
      <c r="A733" s="17">
        <v>128</v>
      </c>
      <c r="B733" s="526" t="s">
        <v>1115</v>
      </c>
      <c r="C733" s="61">
        <v>2750</v>
      </c>
      <c r="D733" s="96">
        <v>6516</v>
      </c>
      <c r="E733" s="100"/>
      <c r="F733" s="100"/>
      <c r="G733" s="98"/>
      <c r="H733" s="98"/>
      <c r="I733" s="98">
        <f t="shared" si="81"/>
        <v>0</v>
      </c>
      <c r="J733" s="98">
        <f t="shared" si="82"/>
        <v>6516</v>
      </c>
      <c r="K733" s="98"/>
    </row>
    <row r="734" spans="1:11" ht="16.8" thickTop="1" thickBot="1" x14ac:dyDescent="0.35">
      <c r="A734" s="17">
        <v>129</v>
      </c>
      <c r="B734" s="526" t="s">
        <v>1116</v>
      </c>
      <c r="C734" s="105">
        <v>2325</v>
      </c>
      <c r="D734" s="96">
        <v>6516</v>
      </c>
      <c r="E734" s="102"/>
      <c r="F734" s="99"/>
      <c r="G734" s="98"/>
      <c r="H734" s="98"/>
      <c r="I734" s="98">
        <f t="shared" si="81"/>
        <v>0</v>
      </c>
      <c r="J734" s="98">
        <f t="shared" si="82"/>
        <v>6516</v>
      </c>
      <c r="K734" s="98"/>
    </row>
    <row r="735" spans="1:11" ht="16.8" thickTop="1" thickBot="1" x14ac:dyDescent="0.35">
      <c r="A735" s="17">
        <v>130</v>
      </c>
      <c r="B735" s="526" t="s">
        <v>1117</v>
      </c>
      <c r="C735" s="61">
        <v>2326</v>
      </c>
      <c r="D735" s="96">
        <v>6516</v>
      </c>
      <c r="E735" s="97"/>
      <c r="F735" s="97"/>
      <c r="G735" s="98"/>
      <c r="H735" s="98"/>
      <c r="I735" s="98">
        <f t="shared" si="81"/>
        <v>0</v>
      </c>
      <c r="J735" s="98">
        <f t="shared" si="82"/>
        <v>6516</v>
      </c>
      <c r="K735" s="98"/>
    </row>
    <row r="736" spans="1:11" ht="16.8" thickTop="1" thickBot="1" x14ac:dyDescent="0.35">
      <c r="A736" s="17">
        <v>131</v>
      </c>
      <c r="B736" s="526" t="s">
        <v>1118</v>
      </c>
      <c r="C736" s="61">
        <v>2751</v>
      </c>
      <c r="D736" s="96">
        <v>6516</v>
      </c>
      <c r="E736" s="99"/>
      <c r="F736" s="99"/>
      <c r="G736" s="98"/>
      <c r="H736" s="98"/>
      <c r="I736" s="98">
        <f t="shared" si="81"/>
        <v>0</v>
      </c>
      <c r="J736" s="98">
        <f t="shared" si="82"/>
        <v>6516</v>
      </c>
      <c r="K736" s="98"/>
    </row>
    <row r="737" spans="1:11" ht="16.8" thickTop="1" thickBot="1" x14ac:dyDescent="0.35">
      <c r="A737" s="17">
        <v>132</v>
      </c>
      <c r="B737" s="526" t="s">
        <v>1119</v>
      </c>
      <c r="C737" s="36">
        <v>2328</v>
      </c>
      <c r="D737" s="96">
        <v>6516</v>
      </c>
      <c r="E737" s="99"/>
      <c r="F737" s="99"/>
      <c r="G737" s="98"/>
      <c r="H737" s="98"/>
      <c r="I737" s="98">
        <f t="shared" si="81"/>
        <v>0</v>
      </c>
      <c r="J737" s="98">
        <f t="shared" si="82"/>
        <v>6516</v>
      </c>
      <c r="K737" s="98"/>
    </row>
    <row r="738" spans="1:11" ht="16.8" thickTop="1" thickBot="1" x14ac:dyDescent="0.35">
      <c r="A738" s="17">
        <v>133</v>
      </c>
      <c r="B738" s="526" t="s">
        <v>1120</v>
      </c>
      <c r="C738" s="36">
        <v>2329</v>
      </c>
      <c r="D738" s="96">
        <v>6516</v>
      </c>
      <c r="E738" s="97"/>
      <c r="F738" s="97"/>
      <c r="G738" s="98"/>
      <c r="H738" s="98"/>
      <c r="I738" s="98">
        <f t="shared" si="81"/>
        <v>0</v>
      </c>
      <c r="J738" s="98">
        <f t="shared" si="82"/>
        <v>6516</v>
      </c>
      <c r="K738" s="98"/>
    </row>
    <row r="739" spans="1:11" ht="16.8" thickTop="1" thickBot="1" x14ac:dyDescent="0.35">
      <c r="A739" s="17">
        <v>134</v>
      </c>
      <c r="B739" s="526" t="s">
        <v>1121</v>
      </c>
      <c r="C739" s="36">
        <v>2333</v>
      </c>
      <c r="D739" s="96">
        <v>6516</v>
      </c>
      <c r="E739" s="102"/>
      <c r="F739" s="103"/>
      <c r="G739" s="98"/>
      <c r="H739" s="98"/>
      <c r="I739" s="98">
        <f t="shared" si="81"/>
        <v>0</v>
      </c>
      <c r="J739" s="98">
        <f t="shared" si="82"/>
        <v>6516</v>
      </c>
      <c r="K739" s="98"/>
    </row>
    <row r="740" spans="1:11" ht="16.8" thickTop="1" thickBot="1" x14ac:dyDescent="0.35">
      <c r="A740" s="17">
        <v>135</v>
      </c>
      <c r="B740" s="526" t="s">
        <v>1122</v>
      </c>
      <c r="C740" s="61">
        <v>2334</v>
      </c>
      <c r="D740" s="96">
        <v>6516</v>
      </c>
      <c r="E740" s="100"/>
      <c r="F740" s="101"/>
      <c r="G740" s="98"/>
      <c r="H740" s="98"/>
      <c r="I740" s="98">
        <f t="shared" si="81"/>
        <v>0</v>
      </c>
      <c r="J740" s="98">
        <f t="shared" si="82"/>
        <v>6516</v>
      </c>
      <c r="K740" s="98"/>
    </row>
    <row r="741" spans="1:11" ht="16.8" thickTop="1" thickBot="1" x14ac:dyDescent="0.35">
      <c r="A741" s="17">
        <v>136</v>
      </c>
      <c r="B741" s="526" t="s">
        <v>1123</v>
      </c>
      <c r="C741" s="36">
        <v>2316</v>
      </c>
      <c r="D741" s="96">
        <v>6516</v>
      </c>
      <c r="E741" s="97"/>
      <c r="F741" s="97"/>
      <c r="G741" s="98"/>
      <c r="H741" s="98"/>
      <c r="I741" s="98">
        <f t="shared" si="81"/>
        <v>0</v>
      </c>
      <c r="J741" s="98">
        <f t="shared" si="82"/>
        <v>6516</v>
      </c>
      <c r="K741" s="98"/>
    </row>
    <row r="742" spans="1:11" ht="16.8" thickTop="1" thickBot="1" x14ac:dyDescent="0.35">
      <c r="A742" s="17">
        <v>137</v>
      </c>
      <c r="B742" s="526" t="s">
        <v>1124</v>
      </c>
      <c r="C742" s="36">
        <v>2155</v>
      </c>
      <c r="D742" s="96">
        <v>6516</v>
      </c>
      <c r="E742" s="97"/>
      <c r="F742" s="97"/>
      <c r="G742" s="98"/>
      <c r="H742" s="98"/>
      <c r="I742" s="98">
        <f t="shared" si="81"/>
        <v>0</v>
      </c>
      <c r="J742" s="98">
        <f t="shared" si="82"/>
        <v>6516</v>
      </c>
      <c r="K742" s="98"/>
    </row>
    <row r="743" spans="1:11" ht="16.8" thickTop="1" thickBot="1" x14ac:dyDescent="0.35">
      <c r="A743" s="17">
        <v>138</v>
      </c>
      <c r="B743" s="526" t="s">
        <v>344</v>
      </c>
      <c r="C743" s="61">
        <v>2338</v>
      </c>
      <c r="D743" s="96">
        <v>6516</v>
      </c>
      <c r="E743" s="102"/>
      <c r="F743" s="103"/>
      <c r="G743" s="98"/>
      <c r="H743" s="98"/>
      <c r="I743" s="98">
        <f t="shared" si="81"/>
        <v>0</v>
      </c>
      <c r="J743" s="98">
        <f t="shared" si="82"/>
        <v>6516</v>
      </c>
      <c r="K743" s="98"/>
    </row>
    <row r="744" spans="1:11" ht="16.8" thickTop="1" thickBot="1" x14ac:dyDescent="0.35">
      <c r="A744" s="17">
        <v>139</v>
      </c>
      <c r="B744" s="526" t="s">
        <v>1125</v>
      </c>
      <c r="C744" s="36">
        <v>2355</v>
      </c>
      <c r="D744" s="96">
        <v>6516</v>
      </c>
      <c r="E744" s="97"/>
      <c r="F744" s="97"/>
      <c r="G744" s="98"/>
      <c r="H744" s="98"/>
      <c r="I744" s="98">
        <f t="shared" si="81"/>
        <v>0</v>
      </c>
      <c r="J744" s="98">
        <f t="shared" si="82"/>
        <v>6516</v>
      </c>
      <c r="K744" s="98"/>
    </row>
    <row r="745" spans="1:11" ht="16.8" thickTop="1" thickBot="1" x14ac:dyDescent="0.35">
      <c r="A745" s="17">
        <v>140</v>
      </c>
      <c r="B745" s="526" t="s">
        <v>1126</v>
      </c>
      <c r="C745" s="61">
        <v>2339</v>
      </c>
      <c r="D745" s="96">
        <v>6516</v>
      </c>
      <c r="E745" s="100"/>
      <c r="F745" s="100"/>
      <c r="G745" s="98"/>
      <c r="H745" s="98"/>
      <c r="I745" s="98">
        <f t="shared" si="81"/>
        <v>0</v>
      </c>
      <c r="J745" s="98">
        <f t="shared" si="82"/>
        <v>6516</v>
      </c>
      <c r="K745" s="98"/>
    </row>
    <row r="746" spans="1:11" ht="16.8" thickTop="1" thickBot="1" x14ac:dyDescent="0.35">
      <c r="A746" s="17">
        <v>141</v>
      </c>
      <c r="B746" s="526" t="s">
        <v>1127</v>
      </c>
      <c r="C746" s="36">
        <v>2340</v>
      </c>
      <c r="D746" s="96">
        <v>6516</v>
      </c>
      <c r="E746" s="100"/>
      <c r="F746" s="100"/>
      <c r="G746" s="98"/>
      <c r="H746" s="98"/>
      <c r="I746" s="98">
        <f t="shared" si="81"/>
        <v>0</v>
      </c>
      <c r="J746" s="98">
        <f t="shared" si="82"/>
        <v>6516</v>
      </c>
      <c r="K746" s="98"/>
    </row>
    <row r="747" spans="1:11" ht="16.8" thickTop="1" thickBot="1" x14ac:dyDescent="0.35">
      <c r="A747" s="17">
        <v>142</v>
      </c>
      <c r="B747" s="526" t="s">
        <v>117</v>
      </c>
      <c r="C747" s="36">
        <v>2341</v>
      </c>
      <c r="D747" s="96">
        <v>6516</v>
      </c>
      <c r="E747" s="97"/>
      <c r="F747" s="97"/>
      <c r="G747" s="98"/>
      <c r="H747" s="98"/>
      <c r="I747" s="98">
        <f t="shared" si="81"/>
        <v>0</v>
      </c>
      <c r="J747" s="98">
        <f t="shared" si="82"/>
        <v>6516</v>
      </c>
      <c r="K747" s="98"/>
    </row>
    <row r="748" spans="1:11" ht="16.8" thickTop="1" thickBot="1" x14ac:dyDescent="0.35">
      <c r="A748" s="17">
        <v>143</v>
      </c>
      <c r="B748" s="526" t="s">
        <v>1128</v>
      </c>
      <c r="C748" s="36">
        <v>2348</v>
      </c>
      <c r="D748" s="96">
        <v>6516</v>
      </c>
      <c r="E748" s="97"/>
      <c r="F748" s="97"/>
      <c r="G748" s="98"/>
      <c r="H748" s="98"/>
      <c r="I748" s="98">
        <f t="shared" si="81"/>
        <v>0</v>
      </c>
      <c r="J748" s="98">
        <f t="shared" si="82"/>
        <v>6516</v>
      </c>
      <c r="K748" s="98"/>
    </row>
    <row r="749" spans="1:11" ht="16.8" thickTop="1" thickBot="1" x14ac:dyDescent="0.35">
      <c r="A749" s="17">
        <v>144</v>
      </c>
      <c r="B749" s="526" t="s">
        <v>1129</v>
      </c>
      <c r="C749" s="61">
        <v>2351</v>
      </c>
      <c r="D749" s="96">
        <v>6516</v>
      </c>
      <c r="E749" s="97"/>
      <c r="F749" s="97"/>
      <c r="G749" s="98"/>
      <c r="H749" s="98"/>
      <c r="I749" s="98">
        <f t="shared" si="81"/>
        <v>0</v>
      </c>
      <c r="J749" s="98">
        <f t="shared" si="82"/>
        <v>6516</v>
      </c>
      <c r="K749" s="98"/>
    </row>
    <row r="750" spans="1:11" ht="16.8" thickTop="1" thickBot="1" x14ac:dyDescent="0.35">
      <c r="A750" s="17">
        <v>145</v>
      </c>
      <c r="B750" s="526" t="s">
        <v>1130</v>
      </c>
      <c r="C750" s="36">
        <v>2352</v>
      </c>
      <c r="D750" s="96">
        <v>6516</v>
      </c>
      <c r="E750" s="100"/>
      <c r="F750" s="100"/>
      <c r="G750" s="98"/>
      <c r="H750" s="98"/>
      <c r="I750" s="98">
        <f t="shared" si="81"/>
        <v>0</v>
      </c>
      <c r="J750" s="98">
        <f t="shared" si="82"/>
        <v>6516</v>
      </c>
      <c r="K750" s="98"/>
    </row>
    <row r="751" spans="1:11" ht="15" thickBot="1" x14ac:dyDescent="0.35">
      <c r="D751" s="510">
        <f t="shared" ref="D751:J751" si="83">SUM(D605:D750)</f>
        <v>951336</v>
      </c>
      <c r="E751" s="510">
        <f t="shared" si="83"/>
        <v>5430</v>
      </c>
      <c r="F751" s="510">
        <f t="shared" si="83"/>
        <v>0</v>
      </c>
      <c r="G751" s="510">
        <f t="shared" si="83"/>
        <v>0</v>
      </c>
      <c r="H751" s="510">
        <f t="shared" si="83"/>
        <v>0</v>
      </c>
      <c r="I751" s="511">
        <f t="shared" si="83"/>
        <v>5430</v>
      </c>
      <c r="J751" s="511">
        <f t="shared" si="83"/>
        <v>945906</v>
      </c>
    </row>
  </sheetData>
  <sortState ref="A532:K609">
    <sortCondition ref="B532:B609"/>
  </sortState>
  <mergeCells count="11">
    <mergeCell ref="E3:H3"/>
    <mergeCell ref="E604:H604"/>
    <mergeCell ref="E72:H72"/>
    <mergeCell ref="E418:H418"/>
    <mergeCell ref="E428:H428"/>
    <mergeCell ref="E195:H195"/>
    <mergeCell ref="E317:H317"/>
    <mergeCell ref="E350:H350"/>
    <mergeCell ref="E365:H365"/>
    <mergeCell ref="E394:H394"/>
    <mergeCell ref="E448:H448"/>
  </mergeCells>
  <pageMargins left="0.25" right="0.25" top="0.75" bottom="0.75" header="0.3" footer="0.3"/>
  <pageSetup fitToHeight="0" orientation="landscape" horizontalDpi="360" verticalDpi="360" r:id="rId1"/>
  <rowBreaks count="1" manualBreakCount="1">
    <brk id="41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topLeftCell="A14" workbookViewId="0">
      <selection activeCell="A16" sqref="A16:A32"/>
    </sheetView>
  </sheetViews>
  <sheetFormatPr defaultRowHeight="14.4" x14ac:dyDescent="0.3"/>
  <cols>
    <col min="1" max="1" width="6.21875" customWidth="1"/>
    <col min="2" max="2" width="46.44140625" bestFit="1" customWidth="1"/>
    <col min="4" max="4" width="10.6640625" bestFit="1" customWidth="1"/>
    <col min="5" max="5" width="5.44140625" customWidth="1"/>
    <col min="6" max="6" width="3.33203125" customWidth="1"/>
    <col min="7" max="7" width="4.44140625" customWidth="1"/>
    <col min="8" max="8" width="2.77734375" customWidth="1"/>
    <col min="9" max="9" width="10.21875" customWidth="1"/>
    <col min="10" max="10" width="16.5546875" bestFit="1" customWidth="1"/>
  </cols>
  <sheetData>
    <row r="1" spans="1:11" ht="16.2" thickBot="1" x14ac:dyDescent="0.35">
      <c r="A1" s="5" t="s">
        <v>1300</v>
      </c>
      <c r="B1" s="4"/>
      <c r="C1" s="6"/>
      <c r="D1" s="6"/>
      <c r="E1" s="6"/>
      <c r="F1" s="6"/>
      <c r="G1" s="6"/>
      <c r="H1" s="6"/>
      <c r="I1" s="7"/>
    </row>
    <row r="2" spans="1:11" ht="27.6" thickBot="1" x14ac:dyDescent="0.35">
      <c r="A2" s="64" t="s">
        <v>0</v>
      </c>
      <c r="B2" s="8" t="s">
        <v>1</v>
      </c>
      <c r="C2" s="64" t="s">
        <v>2</v>
      </c>
      <c r="D2" s="69" t="s">
        <v>854</v>
      </c>
      <c r="E2" s="580" t="s">
        <v>855</v>
      </c>
      <c r="F2" s="581"/>
      <c r="G2" s="581"/>
      <c r="H2" s="582"/>
      <c r="I2" s="71" t="s">
        <v>856</v>
      </c>
      <c r="J2" s="73" t="s">
        <v>3</v>
      </c>
    </row>
    <row r="3" spans="1:11" ht="16.2" thickBot="1" x14ac:dyDescent="0.35">
      <c r="A3" s="17">
        <v>1</v>
      </c>
      <c r="B3" s="10" t="s">
        <v>1324</v>
      </c>
      <c r="C3" s="17"/>
      <c r="D3" s="6">
        <v>6672</v>
      </c>
      <c r="E3" s="6">
        <v>6672</v>
      </c>
      <c r="F3" s="6"/>
      <c r="G3" s="6"/>
      <c r="H3" s="6"/>
      <c r="I3" s="72">
        <f>D3-E3-F3-G3-H3</f>
        <v>0</v>
      </c>
      <c r="J3" s="74" t="s">
        <v>1206</v>
      </c>
    </row>
    <row r="4" spans="1:11" ht="16.2" thickBot="1" x14ac:dyDescent="0.35">
      <c r="A4" s="17">
        <v>2</v>
      </c>
      <c r="B4" s="3" t="s">
        <v>1393</v>
      </c>
      <c r="C4" s="17"/>
      <c r="D4" s="6">
        <v>6672</v>
      </c>
      <c r="E4" s="6">
        <v>2040</v>
      </c>
      <c r="F4" s="6"/>
      <c r="G4" s="6"/>
      <c r="H4" s="6"/>
      <c r="I4" s="72">
        <f t="shared" ref="I4:I10" si="0">D4-E4-F4-G4-H4</f>
        <v>4632</v>
      </c>
      <c r="J4" s="74" t="s">
        <v>1206</v>
      </c>
    </row>
    <row r="5" spans="1:11" ht="16.2" thickBot="1" x14ac:dyDescent="0.35">
      <c r="A5" s="17">
        <v>3</v>
      </c>
      <c r="B5" s="3" t="s">
        <v>1552</v>
      </c>
      <c r="C5" s="17"/>
      <c r="D5" s="6">
        <v>6672</v>
      </c>
      <c r="E5" s="6"/>
      <c r="F5" s="6"/>
      <c r="G5" s="6"/>
      <c r="H5" s="6"/>
      <c r="I5" s="72">
        <f t="shared" si="0"/>
        <v>6672</v>
      </c>
      <c r="J5" s="74" t="s">
        <v>1206</v>
      </c>
      <c r="K5" t="s">
        <v>1395</v>
      </c>
    </row>
    <row r="6" spans="1:11" ht="16.2" thickBot="1" x14ac:dyDescent="0.35">
      <c r="A6" s="17">
        <v>4</v>
      </c>
      <c r="B6" s="3"/>
      <c r="C6" s="17"/>
      <c r="D6" s="6">
        <v>6672</v>
      </c>
      <c r="E6" s="6"/>
      <c r="F6" s="6"/>
      <c r="G6" s="6"/>
      <c r="H6" s="6"/>
      <c r="I6" s="72">
        <f t="shared" si="0"/>
        <v>6672</v>
      </c>
      <c r="J6" s="74" t="s">
        <v>1206</v>
      </c>
    </row>
    <row r="7" spans="1:11" ht="16.2" thickBot="1" x14ac:dyDescent="0.35">
      <c r="A7" s="17">
        <v>5</v>
      </c>
      <c r="B7" s="10"/>
      <c r="C7" s="17"/>
      <c r="D7" s="6">
        <v>6672</v>
      </c>
      <c r="E7" s="6"/>
      <c r="F7" s="6"/>
      <c r="G7" s="6"/>
      <c r="H7" s="6"/>
      <c r="I7" s="72">
        <f t="shared" si="0"/>
        <v>6672</v>
      </c>
      <c r="J7" s="74" t="s">
        <v>1206</v>
      </c>
    </row>
    <row r="8" spans="1:11" ht="16.2" thickBot="1" x14ac:dyDescent="0.35">
      <c r="A8" s="17">
        <v>6</v>
      </c>
      <c r="B8" s="3"/>
      <c r="C8" s="17"/>
      <c r="D8" s="6">
        <v>6672</v>
      </c>
      <c r="E8" s="6"/>
      <c r="F8" s="6"/>
      <c r="G8" s="6"/>
      <c r="H8" s="6"/>
      <c r="I8" s="72">
        <f t="shared" si="0"/>
        <v>6672</v>
      </c>
      <c r="J8" s="74" t="s">
        <v>1206</v>
      </c>
    </row>
    <row r="9" spans="1:11" ht="16.2" thickBot="1" x14ac:dyDescent="0.35">
      <c r="A9" s="17">
        <v>7</v>
      </c>
      <c r="B9" s="3"/>
      <c r="C9" s="17"/>
      <c r="D9" s="6">
        <v>6672</v>
      </c>
      <c r="E9" s="6"/>
      <c r="F9" s="6"/>
      <c r="G9" s="6"/>
      <c r="H9" s="6"/>
      <c r="I9" s="72">
        <f t="shared" si="0"/>
        <v>6672</v>
      </c>
      <c r="J9" s="74" t="s">
        <v>1206</v>
      </c>
    </row>
    <row r="10" spans="1:11" ht="16.2" thickBot="1" x14ac:dyDescent="0.35">
      <c r="A10" s="17">
        <v>8</v>
      </c>
      <c r="B10" s="3"/>
      <c r="C10" s="17"/>
      <c r="D10" s="6">
        <v>6672</v>
      </c>
      <c r="E10" s="6"/>
      <c r="F10" s="6"/>
      <c r="G10" s="6"/>
      <c r="H10" s="6"/>
      <c r="I10" s="72">
        <f t="shared" si="0"/>
        <v>6672</v>
      </c>
      <c r="J10" s="74" t="s">
        <v>1206</v>
      </c>
    </row>
    <row r="13" spans="1:11" ht="15" thickBot="1" x14ac:dyDescent="0.35"/>
    <row r="14" spans="1:11" ht="16.2" thickBot="1" x14ac:dyDescent="0.35">
      <c r="A14" s="5" t="s">
        <v>1301</v>
      </c>
      <c r="B14" s="4"/>
      <c r="C14" s="6"/>
      <c r="D14" s="6"/>
      <c r="E14" s="6"/>
      <c r="F14" s="6"/>
      <c r="G14" s="6"/>
      <c r="H14" s="6"/>
      <c r="I14" s="7"/>
    </row>
    <row r="15" spans="1:11" ht="27.6" thickBot="1" x14ac:dyDescent="0.35">
      <c r="A15" s="26" t="s">
        <v>0</v>
      </c>
      <c r="B15" s="8" t="s">
        <v>1</v>
      </c>
      <c r="C15" s="26" t="s">
        <v>2</v>
      </c>
      <c r="D15" s="69" t="s">
        <v>854</v>
      </c>
      <c r="E15" s="580" t="s">
        <v>855</v>
      </c>
      <c r="F15" s="581"/>
      <c r="G15" s="581"/>
      <c r="H15" s="582"/>
      <c r="I15" s="71" t="s">
        <v>856</v>
      </c>
      <c r="J15" s="73" t="s">
        <v>3</v>
      </c>
    </row>
    <row r="16" spans="1:11" ht="16.2" thickBot="1" x14ac:dyDescent="0.35">
      <c r="A16" s="17">
        <v>1</v>
      </c>
      <c r="B16" s="10" t="s">
        <v>814</v>
      </c>
      <c r="C16" s="17"/>
      <c r="D16" s="6">
        <v>3538</v>
      </c>
      <c r="E16" s="6"/>
      <c r="F16" s="6"/>
      <c r="G16" s="6"/>
      <c r="H16" s="6"/>
      <c r="I16" s="72">
        <f>D16-E16-F16-G16-H16</f>
        <v>3538</v>
      </c>
      <c r="J16" s="74" t="s">
        <v>1206</v>
      </c>
    </row>
    <row r="17" spans="1:10" ht="16.2" thickBot="1" x14ac:dyDescent="0.35">
      <c r="A17" s="17">
        <v>2</v>
      </c>
      <c r="B17" s="3" t="s">
        <v>815</v>
      </c>
      <c r="C17" s="17"/>
      <c r="D17" s="6">
        <v>3538</v>
      </c>
      <c r="E17" s="6"/>
      <c r="F17" s="6"/>
      <c r="G17" s="6"/>
      <c r="H17" s="6"/>
      <c r="I17" s="72">
        <f t="shared" ref="I17" si="1">D17-E17-F17-G17-H17</f>
        <v>3538</v>
      </c>
      <c r="J17" s="74" t="s">
        <v>1206</v>
      </c>
    </row>
    <row r="18" spans="1:10" ht="16.2" thickBot="1" x14ac:dyDescent="0.35">
      <c r="A18" s="17">
        <v>3</v>
      </c>
      <c r="B18" s="3" t="s">
        <v>816</v>
      </c>
      <c r="C18" s="17"/>
      <c r="D18" s="6">
        <v>3538</v>
      </c>
      <c r="E18" s="6"/>
      <c r="F18" s="6"/>
      <c r="G18" s="6"/>
      <c r="H18" s="6"/>
      <c r="I18" s="72">
        <f t="shared" ref="I18:I32" si="2">D18-E18-F18-G18-H18</f>
        <v>3538</v>
      </c>
      <c r="J18" s="74" t="s">
        <v>1206</v>
      </c>
    </row>
    <row r="19" spans="1:10" ht="16.2" thickBot="1" x14ac:dyDescent="0.35">
      <c r="A19" s="17">
        <v>4</v>
      </c>
      <c r="B19" s="10" t="s">
        <v>817</v>
      </c>
      <c r="C19" s="17"/>
      <c r="D19" s="6">
        <v>3538</v>
      </c>
      <c r="E19" s="6"/>
      <c r="F19" s="6"/>
      <c r="G19" s="6"/>
      <c r="H19" s="6"/>
      <c r="I19" s="72">
        <f t="shared" si="2"/>
        <v>3538</v>
      </c>
      <c r="J19" s="74" t="s">
        <v>1206</v>
      </c>
    </row>
    <row r="20" spans="1:10" ht="16.2" thickBot="1" x14ac:dyDescent="0.35">
      <c r="A20" s="17">
        <v>5</v>
      </c>
      <c r="B20" s="3" t="s">
        <v>818</v>
      </c>
      <c r="C20" s="17"/>
      <c r="D20" s="6">
        <v>3538</v>
      </c>
      <c r="E20" s="6"/>
      <c r="F20" s="6"/>
      <c r="G20" s="6"/>
      <c r="H20" s="6"/>
      <c r="I20" s="72">
        <f t="shared" si="2"/>
        <v>3538</v>
      </c>
      <c r="J20" s="74" t="s">
        <v>1206</v>
      </c>
    </row>
    <row r="21" spans="1:10" ht="16.2" thickBot="1" x14ac:dyDescent="0.35">
      <c r="A21" s="17">
        <v>6</v>
      </c>
      <c r="B21" s="3" t="s">
        <v>819</v>
      </c>
      <c r="C21" s="17"/>
      <c r="D21" s="6">
        <v>3538</v>
      </c>
      <c r="E21" s="6"/>
      <c r="F21" s="6"/>
      <c r="G21" s="6"/>
      <c r="H21" s="6"/>
      <c r="I21" s="72">
        <f t="shared" si="2"/>
        <v>3538</v>
      </c>
      <c r="J21" s="74" t="s">
        <v>1206</v>
      </c>
    </row>
    <row r="22" spans="1:10" ht="16.2" thickBot="1" x14ac:dyDescent="0.35">
      <c r="A22" s="17">
        <v>7</v>
      </c>
      <c r="B22" s="3" t="s">
        <v>820</v>
      </c>
      <c r="C22" s="17"/>
      <c r="D22" s="6">
        <v>3538</v>
      </c>
      <c r="E22" s="6"/>
      <c r="F22" s="6"/>
      <c r="G22" s="6"/>
      <c r="H22" s="6"/>
      <c r="I22" s="72">
        <f t="shared" si="2"/>
        <v>3538</v>
      </c>
      <c r="J22" s="74" t="s">
        <v>1206</v>
      </c>
    </row>
    <row r="23" spans="1:10" ht="16.2" thickBot="1" x14ac:dyDescent="0.35">
      <c r="A23" s="17">
        <v>8</v>
      </c>
      <c r="B23" s="10" t="s">
        <v>821</v>
      </c>
      <c r="C23" s="17"/>
      <c r="D23" s="6">
        <v>3538</v>
      </c>
      <c r="E23" s="6"/>
      <c r="F23" s="6"/>
      <c r="G23" s="6"/>
      <c r="H23" s="6"/>
      <c r="I23" s="72">
        <f t="shared" si="2"/>
        <v>3538</v>
      </c>
      <c r="J23" s="74" t="s">
        <v>1206</v>
      </c>
    </row>
    <row r="24" spans="1:10" ht="16.2" thickBot="1" x14ac:dyDescent="0.35">
      <c r="A24" s="17">
        <v>9</v>
      </c>
      <c r="B24" s="3" t="s">
        <v>822</v>
      </c>
      <c r="C24" s="17"/>
      <c r="D24" s="6">
        <v>3538</v>
      </c>
      <c r="E24" s="6"/>
      <c r="F24" s="6"/>
      <c r="G24" s="6"/>
      <c r="H24" s="6"/>
      <c r="I24" s="72">
        <f t="shared" si="2"/>
        <v>3538</v>
      </c>
      <c r="J24" s="74" t="s">
        <v>1206</v>
      </c>
    </row>
    <row r="25" spans="1:10" ht="16.2" thickBot="1" x14ac:dyDescent="0.35">
      <c r="A25" s="17">
        <v>10</v>
      </c>
      <c r="B25" s="10" t="s">
        <v>823</v>
      </c>
      <c r="C25" s="17"/>
      <c r="D25" s="6">
        <v>3538</v>
      </c>
      <c r="E25" s="6"/>
      <c r="F25" s="6"/>
      <c r="G25" s="6"/>
      <c r="H25" s="6"/>
      <c r="I25" s="72">
        <f t="shared" si="2"/>
        <v>3538</v>
      </c>
      <c r="J25" s="74" t="s">
        <v>1206</v>
      </c>
    </row>
    <row r="26" spans="1:10" ht="16.2" thickBot="1" x14ac:dyDescent="0.35">
      <c r="A26" s="17">
        <v>11</v>
      </c>
      <c r="B26" s="3" t="s">
        <v>824</v>
      </c>
      <c r="C26" s="9"/>
      <c r="D26" s="6">
        <v>3538</v>
      </c>
      <c r="E26" s="6"/>
      <c r="F26" s="6"/>
      <c r="G26" s="6"/>
      <c r="H26" s="6"/>
      <c r="I26" s="72">
        <f t="shared" si="2"/>
        <v>3538</v>
      </c>
      <c r="J26" s="74" t="s">
        <v>1206</v>
      </c>
    </row>
    <row r="27" spans="1:10" ht="16.2" thickBot="1" x14ac:dyDescent="0.35">
      <c r="A27" s="17">
        <v>12</v>
      </c>
      <c r="B27" s="3" t="s">
        <v>825</v>
      </c>
      <c r="C27" s="9"/>
      <c r="D27" s="6">
        <v>3538</v>
      </c>
      <c r="E27" s="6"/>
      <c r="F27" s="6"/>
      <c r="G27" s="6"/>
      <c r="H27" s="6"/>
      <c r="I27" s="72">
        <f t="shared" si="2"/>
        <v>3538</v>
      </c>
      <c r="J27" s="74" t="s">
        <v>1206</v>
      </c>
    </row>
    <row r="28" spans="1:10" ht="16.2" thickBot="1" x14ac:dyDescent="0.35">
      <c r="A28" s="17">
        <v>13</v>
      </c>
      <c r="B28" s="3" t="s">
        <v>826</v>
      </c>
      <c r="C28" s="9"/>
      <c r="D28" s="6">
        <v>3538</v>
      </c>
      <c r="E28" s="6"/>
      <c r="F28" s="6"/>
      <c r="G28" s="6"/>
      <c r="H28" s="6"/>
      <c r="I28" s="72">
        <f t="shared" si="2"/>
        <v>3538</v>
      </c>
      <c r="J28" s="74" t="s">
        <v>1206</v>
      </c>
    </row>
    <row r="29" spans="1:10" ht="16.2" thickBot="1" x14ac:dyDescent="0.35">
      <c r="A29" s="17">
        <v>14</v>
      </c>
      <c r="B29" s="4" t="s">
        <v>827</v>
      </c>
      <c r="C29" s="9"/>
      <c r="D29" s="6">
        <v>3538</v>
      </c>
      <c r="E29" s="6"/>
      <c r="F29" s="6"/>
      <c r="G29" s="6"/>
      <c r="H29" s="6"/>
      <c r="I29" s="72">
        <f t="shared" si="2"/>
        <v>3538</v>
      </c>
      <c r="J29" s="74" t="s">
        <v>1206</v>
      </c>
    </row>
    <row r="30" spans="1:10" ht="16.2" thickBot="1" x14ac:dyDescent="0.35">
      <c r="A30" s="17">
        <v>15</v>
      </c>
      <c r="B30" s="4" t="s">
        <v>863</v>
      </c>
      <c r="C30" s="9"/>
      <c r="D30" s="6">
        <v>3538</v>
      </c>
      <c r="E30" s="6"/>
      <c r="F30" s="6"/>
      <c r="G30" s="6"/>
      <c r="H30" s="6"/>
      <c r="I30" s="72">
        <f t="shared" si="2"/>
        <v>3538</v>
      </c>
      <c r="J30" s="74" t="s">
        <v>1206</v>
      </c>
    </row>
    <row r="31" spans="1:10" ht="16.2" thickBot="1" x14ac:dyDescent="0.35">
      <c r="A31" s="17">
        <v>16</v>
      </c>
      <c r="B31" s="4" t="s">
        <v>897</v>
      </c>
      <c r="C31" s="9"/>
      <c r="D31" s="6">
        <v>3538</v>
      </c>
      <c r="E31" s="6"/>
      <c r="F31" s="6"/>
      <c r="G31" s="6"/>
      <c r="H31" s="6"/>
      <c r="I31" s="72">
        <f t="shared" si="2"/>
        <v>3538</v>
      </c>
      <c r="J31" s="74" t="s">
        <v>1206</v>
      </c>
    </row>
    <row r="32" spans="1:10" ht="16.2" thickBot="1" x14ac:dyDescent="0.35">
      <c r="A32" s="17">
        <v>17</v>
      </c>
      <c r="B32" s="94" t="s">
        <v>952</v>
      </c>
      <c r="C32" s="136"/>
      <c r="D32" s="6">
        <v>3538</v>
      </c>
      <c r="E32" s="83"/>
      <c r="F32" s="83"/>
      <c r="G32" s="83"/>
      <c r="H32" s="83"/>
      <c r="I32" s="72">
        <f t="shared" si="2"/>
        <v>3538</v>
      </c>
      <c r="J32" s="74" t="s">
        <v>1206</v>
      </c>
    </row>
    <row r="33" spans="1:11" ht="15.6" x14ac:dyDescent="0.3">
      <c r="A33" s="92"/>
      <c r="B33" s="92"/>
      <c r="C33" s="92"/>
      <c r="D33" s="91"/>
      <c r="E33" s="91"/>
      <c r="F33" s="91"/>
      <c r="G33" s="91"/>
      <c r="H33" s="91"/>
      <c r="I33" s="92"/>
      <c r="J33" s="74"/>
    </row>
    <row r="34" spans="1:11" ht="15.6" x14ac:dyDescent="0.3">
      <c r="A34" s="43"/>
      <c r="B34" s="43"/>
      <c r="C34" s="43"/>
      <c r="D34" s="42"/>
      <c r="E34" s="42"/>
      <c r="F34" s="42"/>
      <c r="G34" s="42"/>
      <c r="H34" s="42"/>
      <c r="I34" s="43"/>
      <c r="J34" s="43"/>
    </row>
    <row r="35" spans="1:11" ht="15.6" x14ac:dyDescent="0.3">
      <c r="A35" s="87"/>
      <c r="B35" s="87"/>
      <c r="C35" s="87"/>
      <c r="D35" s="88"/>
      <c r="E35" s="88"/>
      <c r="F35" s="88"/>
      <c r="G35" s="88"/>
      <c r="H35" s="88"/>
      <c r="I35" s="87"/>
      <c r="J35" s="87"/>
    </row>
    <row r="36" spans="1:11" ht="16.2" thickBot="1" x14ac:dyDescent="0.35">
      <c r="A36" s="137" t="s">
        <v>1302</v>
      </c>
      <c r="B36" s="79"/>
      <c r="C36" s="80"/>
      <c r="D36" s="80"/>
      <c r="E36" s="80"/>
      <c r="F36" s="80"/>
      <c r="G36" s="80"/>
      <c r="H36" s="80"/>
      <c r="I36" s="180"/>
      <c r="J36" s="181"/>
    </row>
    <row r="37" spans="1:11" ht="27.6" thickBot="1" x14ac:dyDescent="0.35">
      <c r="A37" s="22" t="s">
        <v>0</v>
      </c>
      <c r="B37" s="8" t="s">
        <v>1</v>
      </c>
      <c r="C37" s="22" t="s">
        <v>2</v>
      </c>
      <c r="D37" s="69" t="s">
        <v>854</v>
      </c>
      <c r="E37" s="580" t="s">
        <v>855</v>
      </c>
      <c r="F37" s="581"/>
      <c r="G37" s="581"/>
      <c r="H37" s="582"/>
      <c r="I37" s="71" t="s">
        <v>856</v>
      </c>
      <c r="J37" s="73" t="s">
        <v>3</v>
      </c>
    </row>
    <row r="38" spans="1:11" ht="16.2" thickBot="1" x14ac:dyDescent="0.35">
      <c r="A38" s="28">
        <v>1</v>
      </c>
      <c r="B38" s="27" t="s">
        <v>115</v>
      </c>
      <c r="C38" s="28">
        <v>2491</v>
      </c>
      <c r="D38" s="6"/>
      <c r="E38" s="6"/>
      <c r="F38" s="6"/>
      <c r="G38" s="6"/>
      <c r="H38" s="6"/>
      <c r="I38" s="72">
        <f>D38-E38-F38-G38-H38</f>
        <v>0</v>
      </c>
      <c r="J38" s="74" t="s">
        <v>1206</v>
      </c>
    </row>
    <row r="39" spans="1:11" ht="16.2" thickBot="1" x14ac:dyDescent="0.35">
      <c r="A39" s="28">
        <v>2</v>
      </c>
      <c r="B39" s="27" t="s">
        <v>196</v>
      </c>
      <c r="C39" s="28">
        <v>929</v>
      </c>
      <c r="D39" s="6"/>
      <c r="E39" s="6"/>
      <c r="F39" s="6"/>
      <c r="G39" s="6"/>
      <c r="H39" s="6"/>
      <c r="I39" s="72">
        <f t="shared" ref="I39" si="3">D39-E39-F39-G39-H39</f>
        <v>0</v>
      </c>
      <c r="J39" s="74" t="s">
        <v>1206</v>
      </c>
    </row>
    <row r="40" spans="1:11" ht="16.2" thickBot="1" x14ac:dyDescent="0.35">
      <c r="A40" s="164">
        <v>3</v>
      </c>
      <c r="B40" s="45" t="s">
        <v>692</v>
      </c>
      <c r="C40" s="164">
        <v>1740</v>
      </c>
      <c r="D40" s="6"/>
      <c r="E40" s="83"/>
      <c r="F40" s="83"/>
      <c r="G40" s="83"/>
      <c r="H40" s="83"/>
      <c r="I40" s="179">
        <f>D40-E40-F40-G40-H40</f>
        <v>0</v>
      </c>
      <c r="J40" s="74" t="s">
        <v>1206</v>
      </c>
      <c r="K40" t="s">
        <v>1518</v>
      </c>
    </row>
    <row r="41" spans="1:11" ht="15.6" x14ac:dyDescent="0.3">
      <c r="A41" s="167"/>
      <c r="B41" s="186"/>
      <c r="C41" s="167"/>
      <c r="D41" s="91"/>
      <c r="E41" s="91"/>
      <c r="F41" s="91"/>
      <c r="G41" s="91"/>
      <c r="H41" s="91"/>
      <c r="I41" s="92"/>
      <c r="J41" s="92"/>
    </row>
    <row r="42" spans="1:11" ht="15.6" x14ac:dyDescent="0.3">
      <c r="A42" s="166"/>
      <c r="B42" s="60"/>
      <c r="C42" s="166"/>
      <c r="D42" s="42"/>
      <c r="E42" s="42"/>
      <c r="F42" s="42"/>
      <c r="G42" s="42"/>
      <c r="H42" s="42"/>
      <c r="I42" s="43"/>
      <c r="J42" s="43"/>
    </row>
    <row r="43" spans="1:11" ht="15.6" x14ac:dyDescent="0.3">
      <c r="A43" s="183"/>
      <c r="B43" s="184"/>
      <c r="C43" s="185"/>
      <c r="D43" s="88"/>
      <c r="E43" s="88"/>
      <c r="F43" s="88"/>
      <c r="G43" s="88"/>
      <c r="H43" s="88"/>
      <c r="I43" s="87"/>
      <c r="J43" s="87"/>
    </row>
    <row r="44" spans="1:11" ht="16.2" thickBot="1" x14ac:dyDescent="0.35">
      <c r="A44" s="137" t="s">
        <v>1303</v>
      </c>
      <c r="B44" s="79"/>
      <c r="C44" s="80"/>
      <c r="D44" s="80"/>
      <c r="E44" s="80"/>
      <c r="F44" s="80"/>
      <c r="G44" s="80"/>
      <c r="H44" s="80"/>
      <c r="I44" s="180"/>
      <c r="J44" s="181"/>
    </row>
    <row r="45" spans="1:11" ht="27.6" thickBot="1" x14ac:dyDescent="0.35">
      <c r="A45" s="22" t="s">
        <v>0</v>
      </c>
      <c r="B45" s="8" t="s">
        <v>1</v>
      </c>
      <c r="C45" s="22" t="s">
        <v>2</v>
      </c>
      <c r="D45" s="69" t="s">
        <v>854</v>
      </c>
      <c r="E45" s="580" t="s">
        <v>855</v>
      </c>
      <c r="F45" s="581"/>
      <c r="G45" s="581"/>
      <c r="H45" s="582"/>
      <c r="I45" s="71" t="s">
        <v>856</v>
      </c>
      <c r="J45" s="73" t="s">
        <v>3</v>
      </c>
    </row>
    <row r="46" spans="1:11" ht="16.2" thickBot="1" x14ac:dyDescent="0.35">
      <c r="A46" s="9">
        <v>1</v>
      </c>
      <c r="B46" s="4" t="s">
        <v>717</v>
      </c>
      <c r="C46" s="9">
        <v>1559</v>
      </c>
      <c r="D46" s="6"/>
      <c r="E46" s="6"/>
      <c r="F46" s="6"/>
      <c r="G46" s="6"/>
      <c r="H46" s="6"/>
      <c r="I46" s="72">
        <f>D46-E46-F46-G46-H46</f>
        <v>0</v>
      </c>
      <c r="J46" s="74" t="s">
        <v>1206</v>
      </c>
      <c r="K46" t="s">
        <v>1511</v>
      </c>
    </row>
    <row r="47" spans="1:11" ht="16.2" thickBot="1" x14ac:dyDescent="0.35">
      <c r="A47" s="9">
        <v>2</v>
      </c>
      <c r="B47" s="4" t="s">
        <v>715</v>
      </c>
      <c r="C47" s="9">
        <v>1737</v>
      </c>
      <c r="D47" s="6"/>
      <c r="E47" s="6"/>
      <c r="F47" s="6"/>
      <c r="G47" s="6"/>
      <c r="H47" s="6"/>
      <c r="I47" s="72">
        <f t="shared" ref="I47:I48" si="4">D47-E47-F47-G47-H47</f>
        <v>0</v>
      </c>
      <c r="J47" s="74" t="s">
        <v>1206</v>
      </c>
      <c r="K47" t="s">
        <v>1511</v>
      </c>
    </row>
    <row r="48" spans="1:11" ht="16.2" thickBot="1" x14ac:dyDescent="0.35">
      <c r="A48" s="136">
        <v>3</v>
      </c>
      <c r="B48" s="94" t="s">
        <v>716</v>
      </c>
      <c r="C48" s="136">
        <v>1739</v>
      </c>
      <c r="D48" s="6"/>
      <c r="E48" s="83"/>
      <c r="F48" s="83"/>
      <c r="G48" s="83"/>
      <c r="H48" s="83"/>
      <c r="I48" s="179">
        <f t="shared" si="4"/>
        <v>0</v>
      </c>
      <c r="J48" s="74" t="s">
        <v>1206</v>
      </c>
      <c r="K48" t="s">
        <v>1511</v>
      </c>
    </row>
    <row r="49" spans="1:11" ht="15.6" x14ac:dyDescent="0.3">
      <c r="A49" s="35"/>
      <c r="B49" s="34" t="s">
        <v>1560</v>
      </c>
      <c r="C49" s="35">
        <v>1723</v>
      </c>
      <c r="D49" s="42"/>
      <c r="E49" s="42"/>
      <c r="F49" s="42"/>
      <c r="G49" s="42"/>
      <c r="H49" s="42"/>
      <c r="I49" s="42"/>
      <c r="J49" s="91"/>
      <c r="K49" t="s">
        <v>1511</v>
      </c>
    </row>
    <row r="50" spans="1:11" ht="15.6" x14ac:dyDescent="0.3">
      <c r="A50" s="138"/>
      <c r="B50" s="139" t="s">
        <v>1639</v>
      </c>
      <c r="C50" s="138">
        <v>1758</v>
      </c>
      <c r="D50" s="91"/>
      <c r="E50" s="91"/>
      <c r="F50" s="91"/>
      <c r="G50" s="91"/>
      <c r="H50" s="91"/>
      <c r="I50" s="92"/>
      <c r="J50" s="92"/>
      <c r="K50" t="s">
        <v>1511</v>
      </c>
    </row>
    <row r="51" spans="1:11" ht="15.6" x14ac:dyDescent="0.3">
      <c r="A51" s="35"/>
      <c r="B51" s="34"/>
      <c r="C51" s="35"/>
      <c r="D51" s="42"/>
      <c r="E51" s="42"/>
      <c r="F51" s="42"/>
      <c r="G51" s="42"/>
      <c r="H51" s="42"/>
      <c r="I51" s="43"/>
      <c r="J51" s="43"/>
    </row>
    <row r="52" spans="1:11" ht="15.6" x14ac:dyDescent="0.3">
      <c r="A52" s="153"/>
      <c r="B52" s="154"/>
      <c r="C52" s="153"/>
      <c r="D52" s="88"/>
      <c r="E52" s="88"/>
      <c r="F52" s="88"/>
      <c r="G52" s="88"/>
      <c r="H52" s="88"/>
      <c r="I52" s="87"/>
      <c r="J52" s="87"/>
    </row>
    <row r="53" spans="1:11" ht="16.2" thickBot="1" x14ac:dyDescent="0.35">
      <c r="A53" s="137" t="s">
        <v>24</v>
      </c>
      <c r="B53" s="79"/>
      <c r="C53" s="80"/>
      <c r="D53" s="80"/>
      <c r="E53" s="80"/>
      <c r="F53" s="80"/>
      <c r="G53" s="80"/>
      <c r="H53" s="80"/>
      <c r="I53" s="180"/>
      <c r="J53" s="181"/>
    </row>
    <row r="54" spans="1:11" ht="27.6" thickBot="1" x14ac:dyDescent="0.35">
      <c r="A54" s="26" t="s">
        <v>0</v>
      </c>
      <c r="B54" s="8" t="s">
        <v>1</v>
      </c>
      <c r="C54" s="26" t="s">
        <v>2</v>
      </c>
      <c r="D54" s="69" t="s">
        <v>854</v>
      </c>
      <c r="E54" s="580" t="s">
        <v>855</v>
      </c>
      <c r="F54" s="581"/>
      <c r="G54" s="581"/>
      <c r="H54" s="582"/>
      <c r="I54" s="71" t="s">
        <v>856</v>
      </c>
      <c r="J54" s="73" t="s">
        <v>3</v>
      </c>
    </row>
    <row r="55" spans="1:11" ht="15.6" x14ac:dyDescent="0.3">
      <c r="A55" s="136">
        <v>1</v>
      </c>
      <c r="B55" s="94"/>
      <c r="C55" s="136"/>
      <c r="D55" s="83">
        <v>5578</v>
      </c>
      <c r="E55" s="83"/>
      <c r="F55" s="83"/>
      <c r="G55" s="83"/>
      <c r="H55" s="83"/>
      <c r="I55" s="179">
        <f>D55-E55-F55-G55-H55</f>
        <v>5578</v>
      </c>
      <c r="J55" s="74" t="s">
        <v>1206</v>
      </c>
    </row>
    <row r="56" spans="1:11" ht="15.6" x14ac:dyDescent="0.3">
      <c r="A56" s="138"/>
      <c r="B56" s="139"/>
      <c r="C56" s="138"/>
      <c r="D56" s="91"/>
      <c r="E56" s="91"/>
      <c r="F56" s="91"/>
      <c r="G56" s="91"/>
      <c r="H56" s="91"/>
      <c r="I56" s="91"/>
      <c r="J56" s="91"/>
    </row>
    <row r="57" spans="1:11" ht="15.6" x14ac:dyDescent="0.3">
      <c r="A57" s="35"/>
      <c r="B57" s="34"/>
      <c r="C57" s="35"/>
      <c r="D57" s="42"/>
      <c r="E57" s="42"/>
      <c r="F57" s="42"/>
      <c r="G57" s="42"/>
      <c r="H57" s="42"/>
      <c r="I57" s="43"/>
      <c r="J57" s="43"/>
    </row>
    <row r="58" spans="1:11" ht="15.6" x14ac:dyDescent="0.3">
      <c r="A58" s="153"/>
      <c r="B58" s="154"/>
      <c r="C58" s="153"/>
      <c r="D58" s="88"/>
      <c r="E58" s="88"/>
      <c r="F58" s="88"/>
      <c r="G58" s="88"/>
      <c r="H58" s="88"/>
      <c r="I58" s="87"/>
      <c r="J58" s="87"/>
    </row>
    <row r="59" spans="1:11" ht="16.2" thickBot="1" x14ac:dyDescent="0.35">
      <c r="A59" s="137" t="s">
        <v>1304</v>
      </c>
      <c r="B59" s="79"/>
      <c r="C59" s="80"/>
      <c r="D59" s="80"/>
      <c r="E59" s="80"/>
      <c r="F59" s="80"/>
      <c r="G59" s="80"/>
      <c r="H59" s="80"/>
      <c r="I59" s="180"/>
      <c r="J59" s="181"/>
    </row>
    <row r="60" spans="1:11" ht="27.6" thickBot="1" x14ac:dyDescent="0.35">
      <c r="A60" s="22" t="s">
        <v>0</v>
      </c>
      <c r="B60" s="8" t="s">
        <v>1</v>
      </c>
      <c r="C60" s="22" t="s">
        <v>2</v>
      </c>
      <c r="D60" s="69" t="s">
        <v>854</v>
      </c>
      <c r="E60" s="580" t="s">
        <v>855</v>
      </c>
      <c r="F60" s="581"/>
      <c r="G60" s="581"/>
      <c r="H60" s="582"/>
      <c r="I60" s="71" t="s">
        <v>856</v>
      </c>
      <c r="J60" s="73" t="s">
        <v>3</v>
      </c>
    </row>
    <row r="61" spans="1:11" ht="15.6" x14ac:dyDescent="0.3">
      <c r="A61" s="136">
        <v>1</v>
      </c>
      <c r="B61" s="94" t="s">
        <v>691</v>
      </c>
      <c r="C61" s="136">
        <v>3043</v>
      </c>
      <c r="D61" s="83">
        <v>3203</v>
      </c>
      <c r="E61" s="83"/>
      <c r="F61" s="83"/>
      <c r="G61" s="83"/>
      <c r="H61" s="83"/>
      <c r="I61" s="179">
        <f>D61-E61-F61-G61-H61</f>
        <v>3203</v>
      </c>
      <c r="J61" s="74" t="s">
        <v>1206</v>
      </c>
      <c r="K61" t="s">
        <v>1518</v>
      </c>
    </row>
    <row r="62" spans="1:11" ht="15.6" x14ac:dyDescent="0.3">
      <c r="A62" s="138"/>
      <c r="B62" s="139"/>
      <c r="C62" s="138"/>
      <c r="D62" s="91"/>
      <c r="E62" s="91"/>
      <c r="F62" s="91"/>
      <c r="G62" s="91"/>
      <c r="H62" s="91"/>
      <c r="I62" s="91"/>
      <c r="J62" s="91"/>
    </row>
    <row r="63" spans="1:11" ht="15.6" x14ac:dyDescent="0.3">
      <c r="A63" s="35"/>
      <c r="B63" s="34"/>
      <c r="C63" s="35"/>
      <c r="D63" s="42"/>
      <c r="E63" s="42"/>
      <c r="F63" s="42"/>
      <c r="G63" s="42"/>
      <c r="H63" s="42"/>
      <c r="I63" s="43"/>
      <c r="J63" s="43"/>
    </row>
    <row r="64" spans="1:11" ht="15.6" x14ac:dyDescent="0.3">
      <c r="A64" s="153"/>
      <c r="B64" s="154"/>
      <c r="C64" s="153"/>
      <c r="D64" s="88"/>
      <c r="E64" s="88"/>
      <c r="F64" s="88"/>
      <c r="G64" s="88"/>
      <c r="H64" s="88"/>
      <c r="I64" s="87"/>
      <c r="J64" s="87"/>
    </row>
    <row r="65" spans="1:10" ht="16.2" thickBot="1" x14ac:dyDescent="0.35">
      <c r="A65" s="137" t="s">
        <v>780</v>
      </c>
      <c r="B65" s="79"/>
      <c r="C65" s="80"/>
      <c r="D65" s="80"/>
      <c r="E65" s="80"/>
      <c r="F65" s="80"/>
      <c r="G65" s="80"/>
      <c r="H65" s="80"/>
      <c r="I65" s="180"/>
      <c r="J65" s="181"/>
    </row>
    <row r="66" spans="1:10" ht="27.6" thickBot="1" x14ac:dyDescent="0.35">
      <c r="A66" s="22" t="s">
        <v>0</v>
      </c>
      <c r="B66" s="8" t="s">
        <v>1</v>
      </c>
      <c r="C66" s="22" t="s">
        <v>2</v>
      </c>
      <c r="D66" s="69" t="s">
        <v>854</v>
      </c>
      <c r="E66" s="580" t="s">
        <v>855</v>
      </c>
      <c r="F66" s="581"/>
      <c r="G66" s="581"/>
      <c r="H66" s="582"/>
      <c r="I66" s="71" t="s">
        <v>856</v>
      </c>
      <c r="J66" s="73" t="s">
        <v>3</v>
      </c>
    </row>
    <row r="67" spans="1:10" ht="16.2" thickBot="1" x14ac:dyDescent="0.35">
      <c r="A67" s="17">
        <v>1</v>
      </c>
      <c r="B67" s="38" t="s">
        <v>828</v>
      </c>
      <c r="C67" s="39"/>
      <c r="D67" s="6">
        <v>2040</v>
      </c>
      <c r="E67" s="6"/>
      <c r="F67" s="6"/>
      <c r="G67" s="6"/>
      <c r="H67" s="6"/>
      <c r="I67" s="72">
        <f>D67-E67-F67-G67-H67</f>
        <v>2040</v>
      </c>
      <c r="J67" s="74" t="s">
        <v>1206</v>
      </c>
    </row>
    <row r="68" spans="1:10" ht="16.2" thickBot="1" x14ac:dyDescent="0.35">
      <c r="A68" s="17">
        <v>2</v>
      </c>
      <c r="B68" s="3" t="s">
        <v>829</v>
      </c>
      <c r="C68" s="17"/>
      <c r="D68" s="6">
        <v>2040</v>
      </c>
      <c r="E68" s="6"/>
      <c r="F68" s="6"/>
      <c r="G68" s="6"/>
      <c r="H68" s="6"/>
      <c r="I68" s="72">
        <f t="shared" ref="I68:I69" si="5">D68-E68-F68-G68-H68</f>
        <v>2040</v>
      </c>
      <c r="J68" s="74" t="s">
        <v>1206</v>
      </c>
    </row>
    <row r="69" spans="1:10" ht="16.2" thickBot="1" x14ac:dyDescent="0.35">
      <c r="A69" s="17">
        <v>3</v>
      </c>
      <c r="B69" s="10" t="s">
        <v>830</v>
      </c>
      <c r="C69" s="17"/>
      <c r="D69" s="6">
        <v>2040</v>
      </c>
      <c r="E69" s="6"/>
      <c r="F69" s="6"/>
      <c r="G69" s="6"/>
      <c r="H69" s="6"/>
      <c r="I69" s="72">
        <f t="shared" si="5"/>
        <v>2040</v>
      </c>
      <c r="J69" s="74" t="s">
        <v>1206</v>
      </c>
    </row>
    <row r="70" spans="1:10" ht="16.2" thickBot="1" x14ac:dyDescent="0.35">
      <c r="A70" s="17">
        <v>4</v>
      </c>
      <c r="B70" s="10" t="s">
        <v>831</v>
      </c>
      <c r="C70" s="17"/>
      <c r="D70" s="6">
        <v>2040</v>
      </c>
      <c r="E70" s="6"/>
      <c r="F70" s="6"/>
      <c r="G70" s="6"/>
      <c r="H70" s="6"/>
      <c r="I70" s="72">
        <f t="shared" ref="I70:I73" si="6">D70-E70-F70-G70-H70</f>
        <v>2040</v>
      </c>
      <c r="J70" s="74" t="s">
        <v>1206</v>
      </c>
    </row>
    <row r="71" spans="1:10" ht="16.2" thickBot="1" x14ac:dyDescent="0.35">
      <c r="A71" s="17">
        <v>5</v>
      </c>
      <c r="B71" s="10" t="s">
        <v>832</v>
      </c>
      <c r="C71" s="17"/>
      <c r="D71" s="6">
        <v>2040</v>
      </c>
      <c r="E71" s="6"/>
      <c r="F71" s="6"/>
      <c r="G71" s="6"/>
      <c r="H71" s="6"/>
      <c r="I71" s="72">
        <f t="shared" si="6"/>
        <v>2040</v>
      </c>
      <c r="J71" s="74" t="s">
        <v>1206</v>
      </c>
    </row>
    <row r="72" spans="1:10" ht="16.2" thickBot="1" x14ac:dyDescent="0.35">
      <c r="A72" s="17">
        <v>6</v>
      </c>
      <c r="B72" s="10" t="s">
        <v>833</v>
      </c>
      <c r="C72" s="17"/>
      <c r="D72" s="6">
        <v>2040</v>
      </c>
      <c r="E72" s="6"/>
      <c r="F72" s="6"/>
      <c r="G72" s="6"/>
      <c r="H72" s="6"/>
      <c r="I72" s="72">
        <f t="shared" si="6"/>
        <v>2040</v>
      </c>
      <c r="J72" s="74" t="s">
        <v>1206</v>
      </c>
    </row>
    <row r="73" spans="1:10" ht="15.6" x14ac:dyDescent="0.3">
      <c r="A73" s="81">
        <v>7</v>
      </c>
      <c r="B73" s="159" t="s">
        <v>834</v>
      </c>
      <c r="C73" s="81"/>
      <c r="D73" s="83">
        <v>2040</v>
      </c>
      <c r="E73" s="83"/>
      <c r="F73" s="83"/>
      <c r="G73" s="83"/>
      <c r="H73" s="83"/>
      <c r="I73" s="179">
        <f t="shared" si="6"/>
        <v>2040</v>
      </c>
      <c r="J73" s="74" t="s">
        <v>1206</v>
      </c>
    </row>
    <row r="74" spans="1:10" ht="15.6" x14ac:dyDescent="0.3">
      <c r="A74" s="89"/>
      <c r="B74" s="160"/>
      <c r="C74" s="89"/>
      <c r="D74" s="91"/>
      <c r="E74" s="91"/>
      <c r="F74" s="91"/>
      <c r="G74" s="91"/>
      <c r="H74" s="91"/>
      <c r="I74" s="92"/>
      <c r="J74" s="92"/>
    </row>
    <row r="75" spans="1:10" ht="15.6" x14ac:dyDescent="0.3">
      <c r="A75" s="39"/>
      <c r="B75" s="38"/>
      <c r="C75" s="39"/>
      <c r="D75" s="42"/>
      <c r="E75" s="42"/>
      <c r="F75" s="42"/>
      <c r="G75" s="42"/>
      <c r="H75" s="42"/>
      <c r="I75" s="43"/>
      <c r="J75" s="43"/>
    </row>
    <row r="76" spans="1:10" ht="15.6" x14ac:dyDescent="0.3">
      <c r="A76" s="157"/>
      <c r="B76" s="158"/>
      <c r="C76" s="157"/>
      <c r="D76" s="88"/>
      <c r="E76" s="88"/>
      <c r="F76" s="88"/>
      <c r="G76" s="88"/>
      <c r="H76" s="88"/>
      <c r="I76" s="87"/>
      <c r="J76" s="87"/>
    </row>
    <row r="77" spans="1:10" ht="16.2" thickBot="1" x14ac:dyDescent="0.35">
      <c r="A77" s="137" t="s">
        <v>1205</v>
      </c>
      <c r="B77" s="79"/>
      <c r="C77" s="80"/>
      <c r="D77" s="80"/>
      <c r="E77" s="80"/>
      <c r="F77" s="80"/>
      <c r="G77" s="80"/>
      <c r="H77" s="80"/>
      <c r="I77" s="180"/>
      <c r="J77" s="181"/>
    </row>
    <row r="78" spans="1:10" ht="27.6" thickBot="1" x14ac:dyDescent="0.35">
      <c r="A78" s="22" t="s">
        <v>0</v>
      </c>
      <c r="B78" s="8" t="s">
        <v>1</v>
      </c>
      <c r="C78" s="22" t="s">
        <v>2</v>
      </c>
      <c r="D78" s="69" t="s">
        <v>854</v>
      </c>
      <c r="E78" s="580" t="s">
        <v>855</v>
      </c>
      <c r="F78" s="581"/>
      <c r="G78" s="581"/>
      <c r="H78" s="582"/>
      <c r="I78" s="71" t="s">
        <v>856</v>
      </c>
      <c r="J78" s="73" t="s">
        <v>3</v>
      </c>
    </row>
    <row r="79" spans="1:10" ht="16.2" thickBot="1" x14ac:dyDescent="0.35">
      <c r="A79" s="17">
        <v>1</v>
      </c>
      <c r="B79" s="38" t="s">
        <v>334</v>
      </c>
      <c r="C79" s="39">
        <v>2500</v>
      </c>
      <c r="D79" s="6"/>
      <c r="E79" s="6"/>
      <c r="F79" s="6"/>
      <c r="G79" s="6"/>
      <c r="H79" s="6"/>
      <c r="I79" s="72">
        <f>D79-E79-F79-G79-H79</f>
        <v>0</v>
      </c>
      <c r="J79" s="74" t="s">
        <v>1206</v>
      </c>
    </row>
    <row r="80" spans="1:10" ht="16.2" thickBot="1" x14ac:dyDescent="0.35">
      <c r="A80" s="17">
        <v>2</v>
      </c>
      <c r="B80" s="3" t="s">
        <v>195</v>
      </c>
      <c r="C80" s="17">
        <v>2501</v>
      </c>
      <c r="D80" s="6"/>
      <c r="E80" s="6"/>
      <c r="F80" s="6"/>
      <c r="G80" s="6"/>
      <c r="H80" s="6"/>
      <c r="I80" s="72">
        <f t="shared" ref="I80" si="7">D80-E80-F80-G80-H80</f>
        <v>0</v>
      </c>
      <c r="J80" s="74" t="s">
        <v>1206</v>
      </c>
    </row>
    <row r="81" spans="1:11" ht="16.2" thickBot="1" x14ac:dyDescent="0.35">
      <c r="A81" s="17">
        <v>3</v>
      </c>
      <c r="B81" s="10" t="s">
        <v>341</v>
      </c>
      <c r="C81" s="17"/>
      <c r="D81" s="6"/>
      <c r="E81" s="6"/>
      <c r="F81" s="6"/>
      <c r="G81" s="6"/>
      <c r="H81" s="6"/>
      <c r="I81" s="72">
        <f>D81-E81-F81-G81-H81</f>
        <v>0</v>
      </c>
      <c r="J81" s="74" t="s">
        <v>1206</v>
      </c>
    </row>
    <row r="82" spans="1:11" ht="15.6" x14ac:dyDescent="0.3">
      <c r="A82" s="81">
        <v>4</v>
      </c>
      <c r="B82" s="159" t="s">
        <v>196</v>
      </c>
      <c r="C82" s="81">
        <v>929</v>
      </c>
      <c r="D82" s="83"/>
      <c r="E82" s="83"/>
      <c r="F82" s="83"/>
      <c r="G82" s="83"/>
      <c r="H82" s="83"/>
      <c r="I82" s="179">
        <f t="shared" ref="I82" si="8">D82-E82-F82-G82-H82</f>
        <v>0</v>
      </c>
      <c r="J82" s="74" t="s">
        <v>1206</v>
      </c>
    </row>
    <row r="83" spans="1:11" ht="15.6" x14ac:dyDescent="0.3">
      <c r="A83" s="89"/>
      <c r="B83" s="90"/>
      <c r="C83" s="138"/>
      <c r="D83" s="91"/>
      <c r="E83" s="91"/>
      <c r="F83" s="91"/>
      <c r="G83" s="91"/>
      <c r="H83" s="91"/>
      <c r="I83" s="92"/>
      <c r="J83" s="92"/>
    </row>
    <row r="84" spans="1:11" ht="15.6" x14ac:dyDescent="0.3">
      <c r="A84" s="35"/>
      <c r="B84" s="34"/>
      <c r="C84" s="35"/>
      <c r="D84" s="42"/>
      <c r="E84" s="42"/>
      <c r="F84" s="42"/>
      <c r="G84" s="42"/>
      <c r="H84" s="42"/>
      <c r="I84" s="43"/>
      <c r="J84" s="43"/>
    </row>
    <row r="85" spans="1:11" ht="15.6" x14ac:dyDescent="0.3">
      <c r="A85" s="153"/>
      <c r="B85" s="154"/>
      <c r="C85" s="153"/>
      <c r="D85" s="88"/>
      <c r="E85" s="88"/>
      <c r="F85" s="88"/>
      <c r="G85" s="88"/>
      <c r="H85" s="88"/>
      <c r="I85" s="87"/>
      <c r="J85" s="87"/>
    </row>
    <row r="86" spans="1:11" ht="16.2" thickBot="1" x14ac:dyDescent="0.35">
      <c r="A86" s="137" t="s">
        <v>781</v>
      </c>
      <c r="B86" s="79"/>
      <c r="C86" s="80"/>
      <c r="D86" s="80"/>
      <c r="E86" s="80"/>
      <c r="F86" s="80"/>
      <c r="G86" s="80"/>
      <c r="H86" s="80"/>
      <c r="I86" s="180"/>
      <c r="J86" s="181"/>
    </row>
    <row r="87" spans="1:11" ht="27.6" thickBot="1" x14ac:dyDescent="0.35">
      <c r="A87" s="22" t="s">
        <v>0</v>
      </c>
      <c r="B87" s="8" t="s">
        <v>1</v>
      </c>
      <c r="C87" s="22" t="s">
        <v>2</v>
      </c>
      <c r="D87" s="69" t="s">
        <v>854</v>
      </c>
      <c r="E87" s="580" t="s">
        <v>855</v>
      </c>
      <c r="F87" s="581"/>
      <c r="G87" s="581"/>
      <c r="H87" s="582"/>
      <c r="I87" s="71" t="s">
        <v>856</v>
      </c>
      <c r="J87" s="73" t="s">
        <v>3</v>
      </c>
    </row>
    <row r="88" spans="1:11" ht="16.2" thickBot="1" x14ac:dyDescent="0.35">
      <c r="A88" s="17">
        <v>1</v>
      </c>
      <c r="B88" s="3" t="s">
        <v>835</v>
      </c>
      <c r="C88" s="9"/>
      <c r="D88" s="6">
        <v>2040</v>
      </c>
      <c r="E88" s="6">
        <v>3203</v>
      </c>
      <c r="F88" s="6"/>
      <c r="G88" s="6"/>
      <c r="H88" s="6"/>
      <c r="I88" s="72">
        <f>D88-E88-F88-G88-H88</f>
        <v>-1163</v>
      </c>
      <c r="J88" s="74" t="s">
        <v>1206</v>
      </c>
    </row>
    <row r="89" spans="1:11" ht="16.2" thickBot="1" x14ac:dyDescent="0.35">
      <c r="A89" s="17">
        <v>2</v>
      </c>
      <c r="B89" s="3" t="s">
        <v>783</v>
      </c>
      <c r="C89" s="9">
        <v>3045</v>
      </c>
      <c r="D89" s="6">
        <v>2040</v>
      </c>
      <c r="E89" s="6"/>
      <c r="F89" s="6"/>
      <c r="G89" s="6"/>
      <c r="H89" s="6"/>
      <c r="I89" s="72">
        <f t="shared" ref="I89:I90" si="9">D89-E89-F89-G89-H89</f>
        <v>2040</v>
      </c>
      <c r="J89" s="74" t="s">
        <v>1206</v>
      </c>
    </row>
    <row r="90" spans="1:11" ht="16.2" thickBot="1" x14ac:dyDescent="0.35">
      <c r="A90" s="17">
        <v>3</v>
      </c>
      <c r="B90" s="3" t="s">
        <v>836</v>
      </c>
      <c r="C90" s="9"/>
      <c r="D90" s="6">
        <v>2040</v>
      </c>
      <c r="E90" s="6"/>
      <c r="F90" s="6"/>
      <c r="G90" s="6"/>
      <c r="H90" s="6"/>
      <c r="I90" s="72">
        <f t="shared" si="9"/>
        <v>2040</v>
      </c>
      <c r="J90" s="74" t="s">
        <v>1206</v>
      </c>
      <c r="K90" t="s">
        <v>1511</v>
      </c>
    </row>
    <row r="91" spans="1:11" ht="16.2" thickBot="1" x14ac:dyDescent="0.35">
      <c r="A91" s="17">
        <v>4</v>
      </c>
      <c r="B91" s="4" t="s">
        <v>837</v>
      </c>
      <c r="C91" s="9"/>
      <c r="D91" s="6">
        <v>2040</v>
      </c>
      <c r="E91" s="6"/>
      <c r="F91" s="6"/>
      <c r="G91" s="6"/>
      <c r="H91" s="6"/>
      <c r="I91" s="72">
        <f t="shared" ref="I91:I98" si="10">D91-E91-F91-G91-H91</f>
        <v>2040</v>
      </c>
      <c r="J91" s="74" t="s">
        <v>1206</v>
      </c>
    </row>
    <row r="92" spans="1:11" ht="16.2" thickBot="1" x14ac:dyDescent="0.35">
      <c r="A92" s="17">
        <v>5</v>
      </c>
      <c r="B92" s="4" t="s">
        <v>838</v>
      </c>
      <c r="C92" s="9"/>
      <c r="D92" s="6">
        <v>2040</v>
      </c>
      <c r="E92" s="6"/>
      <c r="F92" s="6"/>
      <c r="G92" s="6"/>
      <c r="H92" s="6"/>
      <c r="I92" s="72">
        <f t="shared" si="10"/>
        <v>2040</v>
      </c>
      <c r="J92" s="74" t="s">
        <v>1206</v>
      </c>
    </row>
    <row r="93" spans="1:11" ht="16.2" thickBot="1" x14ac:dyDescent="0.35">
      <c r="A93" s="17">
        <v>6</v>
      </c>
      <c r="B93" s="4" t="s">
        <v>839</v>
      </c>
      <c r="C93" s="9"/>
      <c r="D93" s="6">
        <v>2040</v>
      </c>
      <c r="E93" s="6"/>
      <c r="F93" s="6"/>
      <c r="G93" s="6"/>
      <c r="H93" s="6"/>
      <c r="I93" s="72">
        <f t="shared" si="10"/>
        <v>2040</v>
      </c>
      <c r="J93" s="74" t="s">
        <v>1206</v>
      </c>
    </row>
    <row r="94" spans="1:11" ht="16.2" thickBot="1" x14ac:dyDescent="0.35">
      <c r="A94" s="17">
        <v>7</v>
      </c>
      <c r="B94" s="4" t="s">
        <v>840</v>
      </c>
      <c r="C94" s="9"/>
      <c r="D94" s="6">
        <v>2040</v>
      </c>
      <c r="E94" s="6"/>
      <c r="F94" s="6"/>
      <c r="G94" s="6"/>
      <c r="H94" s="6"/>
      <c r="I94" s="72">
        <f t="shared" si="10"/>
        <v>2040</v>
      </c>
      <c r="J94" s="74" t="s">
        <v>1206</v>
      </c>
    </row>
    <row r="95" spans="1:11" ht="16.2" thickBot="1" x14ac:dyDescent="0.35">
      <c r="A95" s="17">
        <v>8</v>
      </c>
      <c r="B95" s="3" t="s">
        <v>782</v>
      </c>
      <c r="C95" s="9"/>
      <c r="D95" s="6">
        <v>2040</v>
      </c>
      <c r="E95" s="6"/>
      <c r="F95" s="6"/>
      <c r="G95" s="6"/>
      <c r="H95" s="6"/>
      <c r="I95" s="72">
        <f t="shared" si="10"/>
        <v>2040</v>
      </c>
      <c r="J95" s="74" t="s">
        <v>1206</v>
      </c>
    </row>
    <row r="96" spans="1:11" ht="16.2" thickBot="1" x14ac:dyDescent="0.35">
      <c r="A96" s="17">
        <v>9</v>
      </c>
      <c r="B96" s="4" t="s">
        <v>841</v>
      </c>
      <c r="C96" s="9"/>
      <c r="D96" s="6">
        <v>2040</v>
      </c>
      <c r="E96" s="6"/>
      <c r="F96" s="6"/>
      <c r="G96" s="6"/>
      <c r="H96" s="6"/>
      <c r="I96" s="72">
        <f t="shared" si="10"/>
        <v>2040</v>
      </c>
      <c r="J96" s="74" t="s">
        <v>1206</v>
      </c>
    </row>
    <row r="97" spans="1:11" ht="16.2" thickBot="1" x14ac:dyDescent="0.35">
      <c r="A97" s="17">
        <v>10</v>
      </c>
      <c r="B97" s="13" t="s">
        <v>842</v>
      </c>
      <c r="C97" s="9"/>
      <c r="D97" s="6">
        <v>2040</v>
      </c>
      <c r="E97" s="6"/>
      <c r="F97" s="6"/>
      <c r="G97" s="6"/>
      <c r="H97" s="6"/>
      <c r="I97" s="72">
        <f t="shared" si="10"/>
        <v>2040</v>
      </c>
      <c r="J97" s="74" t="s">
        <v>1206</v>
      </c>
    </row>
    <row r="98" spans="1:11" ht="16.2" thickBot="1" x14ac:dyDescent="0.35">
      <c r="A98" s="17">
        <v>11</v>
      </c>
      <c r="B98" s="4" t="s">
        <v>893</v>
      </c>
      <c r="C98" s="9"/>
      <c r="D98" s="6">
        <v>2040</v>
      </c>
      <c r="E98" s="6">
        <v>540</v>
      </c>
      <c r="F98" s="6"/>
      <c r="G98" s="6"/>
      <c r="H98" s="6"/>
      <c r="I98" s="72">
        <f t="shared" si="10"/>
        <v>1500</v>
      </c>
      <c r="J98" s="74" t="s">
        <v>1206</v>
      </c>
    </row>
    <row r="102" spans="1:11" x14ac:dyDescent="0.3">
      <c r="B102" t="s">
        <v>1620</v>
      </c>
      <c r="K102" t="s">
        <v>1511</v>
      </c>
    </row>
    <row r="103" spans="1:11" x14ac:dyDescent="0.3">
      <c r="B103" t="s">
        <v>1621</v>
      </c>
      <c r="K103" t="s">
        <v>1511</v>
      </c>
    </row>
    <row r="104" spans="1:11" x14ac:dyDescent="0.3">
      <c r="B104" t="s">
        <v>1622</v>
      </c>
      <c r="K104" t="s">
        <v>1511</v>
      </c>
    </row>
    <row r="105" spans="1:11" x14ac:dyDescent="0.3">
      <c r="B105" t="s">
        <v>1623</v>
      </c>
      <c r="K105" t="s">
        <v>1511</v>
      </c>
    </row>
    <row r="106" spans="1:11" x14ac:dyDescent="0.3">
      <c r="B106" t="s">
        <v>1624</v>
      </c>
      <c r="K106" t="s">
        <v>1511</v>
      </c>
    </row>
    <row r="107" spans="1:11" x14ac:dyDescent="0.3">
      <c r="B107" t="s">
        <v>1644</v>
      </c>
      <c r="K107" t="s">
        <v>1511</v>
      </c>
    </row>
  </sheetData>
  <sortState ref="B356:F365">
    <sortCondition ref="B356"/>
  </sortState>
  <mergeCells count="9">
    <mergeCell ref="E2:H2"/>
    <mergeCell ref="E87:H87"/>
    <mergeCell ref="E66:H66"/>
    <mergeCell ref="E78:H78"/>
    <mergeCell ref="E15:H15"/>
    <mergeCell ref="E37:H37"/>
    <mergeCell ref="E45:H45"/>
    <mergeCell ref="E54:H54"/>
    <mergeCell ref="E60:H6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"/>
  <sheetViews>
    <sheetView tabSelected="1" topLeftCell="A108" zoomScale="112" zoomScaleNormal="112" workbookViewId="0">
      <selection activeCell="J87" sqref="J87"/>
    </sheetView>
  </sheetViews>
  <sheetFormatPr defaultRowHeight="14.4" x14ac:dyDescent="0.3"/>
  <cols>
    <col min="1" max="1" width="4.5546875" customWidth="1"/>
    <col min="2" max="2" width="32.21875" bestFit="1" customWidth="1"/>
    <col min="4" max="4" width="14.109375" bestFit="1" customWidth="1"/>
    <col min="5" max="6" width="8.77734375" bestFit="1" customWidth="1"/>
    <col min="7" max="7" width="7" bestFit="1" customWidth="1"/>
    <col min="8" max="8" width="11.44140625" customWidth="1"/>
    <col min="9" max="9" width="11.6640625" customWidth="1"/>
    <col min="10" max="10" width="17.33203125" bestFit="1" customWidth="1"/>
    <col min="11" max="11" width="9.6640625" bestFit="1" customWidth="1"/>
  </cols>
  <sheetData>
    <row r="1" spans="1:12" ht="21" thickBot="1" x14ac:dyDescent="0.4">
      <c r="A1" s="594" t="s">
        <v>4</v>
      </c>
      <c r="B1" s="594"/>
      <c r="C1" s="594"/>
      <c r="D1" s="594"/>
      <c r="E1" s="594"/>
      <c r="F1" s="594"/>
      <c r="G1" s="594"/>
      <c r="H1" s="594"/>
      <c r="I1" s="594"/>
      <c r="J1" s="594"/>
    </row>
    <row r="2" spans="1:12" ht="21" thickBot="1" x14ac:dyDescent="0.4">
      <c r="A2" s="594" t="s">
        <v>9</v>
      </c>
      <c r="B2" s="594"/>
      <c r="C2" s="594"/>
      <c r="D2" s="594"/>
      <c r="E2" s="594"/>
      <c r="F2" s="594"/>
      <c r="G2" s="594"/>
      <c r="H2" s="594"/>
      <c r="I2" s="594"/>
      <c r="J2" s="594"/>
    </row>
    <row r="3" spans="1:12" ht="16.2" thickBot="1" x14ac:dyDescent="0.35">
      <c r="A3" s="5" t="s">
        <v>1311</v>
      </c>
      <c r="B3" s="4"/>
      <c r="C3" s="4"/>
      <c r="D3" s="4"/>
      <c r="E3" s="4"/>
      <c r="F3" s="4"/>
      <c r="G3" s="6"/>
      <c r="H3" s="6"/>
      <c r="I3" s="6"/>
      <c r="J3" s="6"/>
    </row>
    <row r="4" spans="1:12" ht="27.6" thickBot="1" x14ac:dyDescent="0.35">
      <c r="A4" s="266" t="s">
        <v>0</v>
      </c>
      <c r="B4" s="73" t="s">
        <v>1</v>
      </c>
      <c r="C4" s="266" t="s">
        <v>2</v>
      </c>
      <c r="D4" s="230" t="s">
        <v>854</v>
      </c>
      <c r="E4" s="601" t="s">
        <v>855</v>
      </c>
      <c r="F4" s="581"/>
      <c r="G4" s="602"/>
      <c r="H4" s="231" t="s">
        <v>1208</v>
      </c>
      <c r="I4" s="232" t="s">
        <v>856</v>
      </c>
      <c r="J4" s="73" t="s">
        <v>3</v>
      </c>
    </row>
    <row r="5" spans="1:12" ht="16.2" thickBot="1" x14ac:dyDescent="0.35">
      <c r="A5" s="7">
        <v>1</v>
      </c>
      <c r="B5" s="7" t="s">
        <v>1365</v>
      </c>
      <c r="C5" s="7"/>
      <c r="D5" s="7">
        <v>6672</v>
      </c>
      <c r="E5" s="7">
        <v>2040</v>
      </c>
      <c r="F5" s="7">
        <v>2000</v>
      </c>
      <c r="G5" s="7"/>
      <c r="H5" s="6">
        <f>E5+F5+G5</f>
        <v>4040</v>
      </c>
      <c r="I5" s="6">
        <f>D5-H5</f>
        <v>2632</v>
      </c>
      <c r="J5" s="6" t="s">
        <v>1366</v>
      </c>
    </row>
    <row r="6" spans="1:12" ht="16.2" thickBot="1" x14ac:dyDescent="0.35">
      <c r="A6" s="7">
        <v>2</v>
      </c>
      <c r="B6" s="7" t="s">
        <v>1373</v>
      </c>
      <c r="C6" s="7"/>
      <c r="D6" s="7">
        <v>6672</v>
      </c>
      <c r="E6" s="7">
        <v>1500</v>
      </c>
      <c r="F6" s="7">
        <v>2000</v>
      </c>
      <c r="G6" s="461">
        <v>4000</v>
      </c>
      <c r="H6" s="6">
        <f t="shared" ref="H6:H13" si="0">E6+F6+G6</f>
        <v>7500</v>
      </c>
      <c r="I6" s="6">
        <f t="shared" ref="I6:I13" si="1">D6-H6</f>
        <v>-828</v>
      </c>
      <c r="J6" s="6" t="s">
        <v>1395</v>
      </c>
    </row>
    <row r="7" spans="1:12" ht="16.2" thickBot="1" x14ac:dyDescent="0.35">
      <c r="A7" s="7">
        <v>3</v>
      </c>
      <c r="B7" s="7" t="s">
        <v>1385</v>
      </c>
      <c r="C7" s="7"/>
      <c r="D7" s="7">
        <v>6672</v>
      </c>
      <c r="E7" s="7">
        <v>3000</v>
      </c>
      <c r="F7" s="7"/>
      <c r="G7" s="7"/>
      <c r="H7" s="6">
        <f t="shared" si="0"/>
        <v>3000</v>
      </c>
      <c r="I7" s="6">
        <f t="shared" si="1"/>
        <v>3672</v>
      </c>
      <c r="J7" s="6"/>
      <c r="K7">
        <v>6649</v>
      </c>
      <c r="L7">
        <v>6891</v>
      </c>
    </row>
    <row r="8" spans="1:12" ht="16.2" thickBot="1" x14ac:dyDescent="0.35">
      <c r="A8" s="7">
        <v>4</v>
      </c>
      <c r="B8" s="7" t="s">
        <v>1405</v>
      </c>
      <c r="C8" s="7"/>
      <c r="D8" s="7">
        <v>6672</v>
      </c>
      <c r="E8" s="7">
        <v>2040</v>
      </c>
      <c r="F8" s="7">
        <v>2000</v>
      </c>
      <c r="G8" s="7"/>
      <c r="H8" s="6">
        <f t="shared" si="0"/>
        <v>4040</v>
      </c>
      <c r="I8" s="6">
        <f t="shared" si="1"/>
        <v>2632</v>
      </c>
      <c r="J8" s="6"/>
    </row>
    <row r="9" spans="1:12" ht="16.2" thickBot="1" x14ac:dyDescent="0.35">
      <c r="A9" s="7">
        <v>5</v>
      </c>
      <c r="B9" s="7" t="s">
        <v>1406</v>
      </c>
      <c r="C9" s="7"/>
      <c r="D9" s="7">
        <v>6672</v>
      </c>
      <c r="E9" s="7">
        <v>2040</v>
      </c>
      <c r="F9" s="7">
        <v>2000</v>
      </c>
      <c r="G9" s="7"/>
      <c r="H9" s="6">
        <f t="shared" si="0"/>
        <v>4040</v>
      </c>
      <c r="I9" s="6">
        <f t="shared" si="1"/>
        <v>2632</v>
      </c>
      <c r="J9" s="6"/>
    </row>
    <row r="10" spans="1:12" ht="16.2" thickBot="1" x14ac:dyDescent="0.35">
      <c r="A10" s="7">
        <v>6</v>
      </c>
      <c r="B10" s="7" t="s">
        <v>1407</v>
      </c>
      <c r="C10" s="7"/>
      <c r="D10" s="7">
        <v>6672</v>
      </c>
      <c r="E10" s="7">
        <v>2040</v>
      </c>
      <c r="F10" s="7">
        <v>4000</v>
      </c>
      <c r="G10" s="7"/>
      <c r="H10" s="6">
        <f t="shared" si="0"/>
        <v>6040</v>
      </c>
      <c r="I10" s="6">
        <f t="shared" si="1"/>
        <v>632</v>
      </c>
      <c r="J10" s="13" t="s">
        <v>1395</v>
      </c>
    </row>
    <row r="11" spans="1:12" ht="16.2" thickBot="1" x14ac:dyDescent="0.35">
      <c r="A11" s="7">
        <v>7</v>
      </c>
      <c r="B11" s="7" t="s">
        <v>1422</v>
      </c>
      <c r="C11" s="7"/>
      <c r="D11" s="7">
        <v>6672</v>
      </c>
      <c r="E11" s="7">
        <v>2040</v>
      </c>
      <c r="F11" s="7"/>
      <c r="G11" s="7"/>
      <c r="H11" s="6">
        <f t="shared" si="0"/>
        <v>2040</v>
      </c>
      <c r="I11" s="6">
        <f t="shared" si="1"/>
        <v>4632</v>
      </c>
      <c r="J11" s="6"/>
    </row>
    <row r="12" spans="1:12" ht="16.2" thickBot="1" x14ac:dyDescent="0.35">
      <c r="A12" s="7">
        <v>8</v>
      </c>
      <c r="B12" s="7" t="s">
        <v>1434</v>
      </c>
      <c r="C12" s="7"/>
      <c r="D12" s="7">
        <v>6672</v>
      </c>
      <c r="E12" s="7">
        <v>2040</v>
      </c>
      <c r="F12" s="7">
        <v>2000</v>
      </c>
      <c r="G12" s="7"/>
      <c r="H12" s="6">
        <f t="shared" si="0"/>
        <v>4040</v>
      </c>
      <c r="I12" s="6">
        <f t="shared" si="1"/>
        <v>2632</v>
      </c>
      <c r="J12" s="6"/>
    </row>
    <row r="13" spans="1:12" ht="16.2" thickBot="1" x14ac:dyDescent="0.35">
      <c r="A13" s="7">
        <v>9</v>
      </c>
      <c r="B13" s="7" t="s">
        <v>1458</v>
      </c>
      <c r="C13" s="7"/>
      <c r="D13" s="7">
        <v>6672</v>
      </c>
      <c r="E13" s="7">
        <v>2040</v>
      </c>
      <c r="F13" s="7">
        <v>3000</v>
      </c>
      <c r="G13" s="7"/>
      <c r="H13" s="6">
        <f t="shared" si="0"/>
        <v>5040</v>
      </c>
      <c r="I13" s="6">
        <f t="shared" si="1"/>
        <v>1632</v>
      </c>
      <c r="J13" s="6" t="s">
        <v>1395</v>
      </c>
    </row>
    <row r="14" spans="1:12" ht="15.6" x14ac:dyDescent="0.3">
      <c r="A14" s="92"/>
      <c r="B14" s="92"/>
      <c r="C14" s="92"/>
      <c r="D14" s="502">
        <f>SUM(D5:D13)</f>
        <v>60048</v>
      </c>
      <c r="E14" s="502">
        <f t="shared" ref="E14:I14" si="2">SUM(E5:E13)</f>
        <v>18780</v>
      </c>
      <c r="F14" s="502">
        <f t="shared" si="2"/>
        <v>17000</v>
      </c>
      <c r="G14" s="502">
        <f t="shared" si="2"/>
        <v>4000</v>
      </c>
      <c r="H14" s="502">
        <f t="shared" si="2"/>
        <v>39780</v>
      </c>
      <c r="I14" s="502">
        <f t="shared" si="2"/>
        <v>20268</v>
      </c>
      <c r="J14" s="91"/>
    </row>
    <row r="15" spans="1:12" ht="15.6" x14ac:dyDescent="0.3">
      <c r="A15" s="43"/>
      <c r="B15" s="43"/>
      <c r="C15" s="43"/>
      <c r="D15" s="43"/>
      <c r="E15" s="43"/>
      <c r="F15" s="43"/>
      <c r="G15" s="43"/>
      <c r="H15" s="42"/>
      <c r="I15" s="42"/>
      <c r="J15" s="42"/>
    </row>
    <row r="16" spans="1:12" ht="15.6" x14ac:dyDescent="0.3">
      <c r="A16" s="87"/>
      <c r="B16" s="87"/>
      <c r="C16" s="87"/>
      <c r="D16" s="87"/>
      <c r="E16" s="87"/>
      <c r="F16" s="87"/>
      <c r="G16" s="87"/>
      <c r="H16" s="88"/>
      <c r="I16" s="88"/>
      <c r="J16" s="88"/>
    </row>
    <row r="17" spans="1:10" ht="16.2" thickBot="1" x14ac:dyDescent="0.35">
      <c r="A17" s="137" t="s">
        <v>1312</v>
      </c>
      <c r="B17" s="79"/>
      <c r="C17" s="79"/>
      <c r="D17" s="79"/>
      <c r="E17" s="79"/>
      <c r="F17" s="79"/>
      <c r="G17" s="80"/>
      <c r="H17" s="80"/>
      <c r="I17" s="80"/>
      <c r="J17" s="80"/>
    </row>
    <row r="18" spans="1:10" ht="27.6" thickBot="1" x14ac:dyDescent="0.35">
      <c r="A18" s="223" t="s">
        <v>0</v>
      </c>
      <c r="B18" s="73" t="s">
        <v>1</v>
      </c>
      <c r="C18" s="223" t="s">
        <v>2</v>
      </c>
      <c r="D18" s="230" t="s">
        <v>854</v>
      </c>
      <c r="E18" s="601" t="s">
        <v>855</v>
      </c>
      <c r="F18" s="581"/>
      <c r="G18" s="602"/>
      <c r="H18" s="231" t="s">
        <v>1208</v>
      </c>
      <c r="I18" s="232" t="s">
        <v>856</v>
      </c>
      <c r="J18" s="73" t="s">
        <v>3</v>
      </c>
    </row>
    <row r="19" spans="1:10" ht="16.2" thickBot="1" x14ac:dyDescent="0.35">
      <c r="A19" s="9">
        <v>1</v>
      </c>
      <c r="B19" s="4" t="s">
        <v>643</v>
      </c>
      <c r="C19" s="115"/>
      <c r="D19" s="116">
        <v>3538</v>
      </c>
      <c r="E19" s="116"/>
      <c r="F19" s="116"/>
      <c r="G19" s="116"/>
      <c r="H19" s="116">
        <f>SUM(E19:G19)</f>
        <v>0</v>
      </c>
      <c r="I19" s="117">
        <f>D19-H19</f>
        <v>3538</v>
      </c>
      <c r="J19" s="118"/>
    </row>
    <row r="20" spans="1:10" ht="16.2" thickBot="1" x14ac:dyDescent="0.35">
      <c r="A20" s="9">
        <v>2</v>
      </c>
      <c r="B20" s="4" t="s">
        <v>935</v>
      </c>
      <c r="C20" s="119"/>
      <c r="D20" s="116">
        <v>3538</v>
      </c>
      <c r="E20" s="119"/>
      <c r="F20" s="119"/>
      <c r="G20" s="116"/>
      <c r="H20" s="116">
        <f t="shared" ref="H20:H37" si="3">SUM(E20:G20)</f>
        <v>0</v>
      </c>
      <c r="I20" s="117">
        <f t="shared" ref="I20:I37" si="4">D20-H20</f>
        <v>3538</v>
      </c>
      <c r="J20" s="118"/>
    </row>
    <row r="21" spans="1:10" ht="16.2" thickBot="1" x14ac:dyDescent="0.35">
      <c r="A21" s="9">
        <v>3</v>
      </c>
      <c r="B21" s="4" t="s">
        <v>873</v>
      </c>
      <c r="C21" s="119"/>
      <c r="D21" s="116">
        <v>3538</v>
      </c>
      <c r="E21" s="119"/>
      <c r="F21" s="119"/>
      <c r="G21" s="116"/>
      <c r="H21" s="116">
        <f t="shared" si="3"/>
        <v>0</v>
      </c>
      <c r="I21" s="117">
        <f t="shared" si="4"/>
        <v>3538</v>
      </c>
      <c r="J21" s="118"/>
    </row>
    <row r="22" spans="1:10" ht="16.2" thickBot="1" x14ac:dyDescent="0.35">
      <c r="A22" s="9">
        <v>4</v>
      </c>
      <c r="B22" s="13" t="s">
        <v>882</v>
      </c>
      <c r="C22" s="119"/>
      <c r="D22" s="116">
        <v>3538</v>
      </c>
      <c r="E22" s="119"/>
      <c r="F22" s="119"/>
      <c r="G22" s="116"/>
      <c r="H22" s="116">
        <f t="shared" si="3"/>
        <v>0</v>
      </c>
      <c r="I22" s="117">
        <f t="shared" si="4"/>
        <v>3538</v>
      </c>
      <c r="J22" s="118"/>
    </row>
    <row r="23" spans="1:10" ht="16.2" thickBot="1" x14ac:dyDescent="0.35">
      <c r="A23" s="9">
        <v>5</v>
      </c>
      <c r="B23" s="4" t="s">
        <v>648</v>
      </c>
      <c r="C23" s="115">
        <v>2957</v>
      </c>
      <c r="D23" s="116">
        <v>3538</v>
      </c>
      <c r="E23" s="116">
        <v>2538</v>
      </c>
      <c r="F23" s="116"/>
      <c r="G23" s="116"/>
      <c r="H23" s="116">
        <f t="shared" si="3"/>
        <v>2538</v>
      </c>
      <c r="I23" s="117">
        <f t="shared" si="4"/>
        <v>1000</v>
      </c>
      <c r="J23" s="118" t="s">
        <v>1395</v>
      </c>
    </row>
    <row r="24" spans="1:10" ht="16.2" thickBot="1" x14ac:dyDescent="0.35">
      <c r="A24" s="9">
        <v>6</v>
      </c>
      <c r="B24" s="4" t="s">
        <v>883</v>
      </c>
      <c r="C24" s="116"/>
      <c r="D24" s="116">
        <v>3538</v>
      </c>
      <c r="E24" s="113"/>
      <c r="F24" s="116"/>
      <c r="G24" s="116"/>
      <c r="H24" s="116">
        <f t="shared" si="3"/>
        <v>0</v>
      </c>
      <c r="I24" s="117">
        <f t="shared" si="4"/>
        <v>3538</v>
      </c>
      <c r="J24" s="118"/>
    </row>
    <row r="25" spans="1:10" ht="16.2" thickBot="1" x14ac:dyDescent="0.35">
      <c r="A25" s="9">
        <v>7</v>
      </c>
      <c r="B25" s="20" t="s">
        <v>1138</v>
      </c>
      <c r="C25" s="119"/>
      <c r="D25" s="116">
        <v>3538</v>
      </c>
      <c r="E25" s="119"/>
      <c r="F25" s="119"/>
      <c r="G25" s="119"/>
      <c r="H25" s="116">
        <f t="shared" si="3"/>
        <v>0</v>
      </c>
      <c r="I25" s="117">
        <f t="shared" si="4"/>
        <v>3538</v>
      </c>
      <c r="J25" s="116"/>
    </row>
    <row r="26" spans="1:10" ht="16.2" thickBot="1" x14ac:dyDescent="0.35">
      <c r="A26" s="9">
        <v>8</v>
      </c>
      <c r="B26" s="4" t="s">
        <v>644</v>
      </c>
      <c r="C26" s="115">
        <v>2989</v>
      </c>
      <c r="D26" s="116">
        <v>3538</v>
      </c>
      <c r="E26" s="116"/>
      <c r="F26" s="116"/>
      <c r="G26" s="116"/>
      <c r="H26" s="116">
        <f t="shared" si="3"/>
        <v>0</v>
      </c>
      <c r="I26" s="117">
        <f t="shared" si="4"/>
        <v>3538</v>
      </c>
      <c r="J26" s="116"/>
    </row>
    <row r="27" spans="1:10" ht="16.2" thickBot="1" x14ac:dyDescent="0.35">
      <c r="A27" s="9"/>
      <c r="B27" s="4" t="s">
        <v>1705</v>
      </c>
      <c r="C27" s="115"/>
      <c r="D27" s="116">
        <v>5578</v>
      </c>
      <c r="E27" s="116">
        <v>2000</v>
      </c>
      <c r="F27" s="116"/>
      <c r="G27" s="116"/>
      <c r="H27" s="116">
        <v>2000</v>
      </c>
      <c r="I27" s="117">
        <f t="shared" si="4"/>
        <v>3578</v>
      </c>
      <c r="J27" s="116" t="s">
        <v>1706</v>
      </c>
    </row>
    <row r="28" spans="1:10" ht="16.2" thickBot="1" x14ac:dyDescent="0.35">
      <c r="A28" s="9">
        <v>9</v>
      </c>
      <c r="B28" s="4" t="s">
        <v>860</v>
      </c>
      <c r="C28" s="119"/>
      <c r="D28" s="116">
        <v>3538</v>
      </c>
      <c r="E28" s="119"/>
      <c r="F28" s="119"/>
      <c r="G28" s="116"/>
      <c r="H28" s="116">
        <f t="shared" si="3"/>
        <v>0</v>
      </c>
      <c r="I28" s="117">
        <f t="shared" si="4"/>
        <v>3538</v>
      </c>
      <c r="J28" s="116"/>
    </row>
    <row r="29" spans="1:10" ht="16.2" thickBot="1" x14ac:dyDescent="0.35">
      <c r="A29" s="9">
        <v>10</v>
      </c>
      <c r="B29" s="4" t="s">
        <v>646</v>
      </c>
      <c r="C29" s="116">
        <v>2964</v>
      </c>
      <c r="D29" s="116">
        <v>3538</v>
      </c>
      <c r="E29" s="116">
        <v>1100</v>
      </c>
      <c r="F29" s="116"/>
      <c r="G29" s="116"/>
      <c r="H29" s="116">
        <f t="shared" si="3"/>
        <v>1100</v>
      </c>
      <c r="I29" s="117">
        <f t="shared" si="4"/>
        <v>2438</v>
      </c>
      <c r="J29" s="281" t="s">
        <v>1395</v>
      </c>
    </row>
    <row r="30" spans="1:10" ht="16.2" thickBot="1" x14ac:dyDescent="0.35">
      <c r="A30" s="9">
        <v>11</v>
      </c>
      <c r="B30" s="4" t="s">
        <v>647</v>
      </c>
      <c r="C30" s="116">
        <v>2965</v>
      </c>
      <c r="D30" s="116">
        <v>3538</v>
      </c>
      <c r="E30" s="116">
        <v>2500</v>
      </c>
      <c r="F30" s="116"/>
      <c r="G30" s="116"/>
      <c r="H30" s="116">
        <f t="shared" si="3"/>
        <v>2500</v>
      </c>
      <c r="I30" s="117">
        <f t="shared" si="4"/>
        <v>1038</v>
      </c>
      <c r="J30" s="13" t="s">
        <v>1395</v>
      </c>
    </row>
    <row r="31" spans="1:10" ht="16.2" thickBot="1" x14ac:dyDescent="0.35">
      <c r="A31" s="9">
        <v>12</v>
      </c>
      <c r="B31" s="4" t="s">
        <v>645</v>
      </c>
      <c r="C31" s="115"/>
      <c r="D31" s="116">
        <v>3538</v>
      </c>
      <c r="E31" s="116"/>
      <c r="F31" s="116"/>
      <c r="G31" s="116"/>
      <c r="H31" s="116">
        <f t="shared" si="3"/>
        <v>0</v>
      </c>
      <c r="I31" s="117">
        <f t="shared" si="4"/>
        <v>3538</v>
      </c>
      <c r="J31" s="116"/>
    </row>
    <row r="32" spans="1:10" ht="16.2" thickBot="1" x14ac:dyDescent="0.35">
      <c r="A32" s="9">
        <v>13</v>
      </c>
      <c r="B32" s="4" t="s">
        <v>895</v>
      </c>
      <c r="C32" s="115"/>
      <c r="D32" s="116">
        <v>3538</v>
      </c>
      <c r="E32" s="115"/>
      <c r="F32" s="115"/>
      <c r="G32" s="116"/>
      <c r="H32" s="116">
        <f t="shared" si="3"/>
        <v>0</v>
      </c>
      <c r="I32" s="117">
        <f t="shared" si="4"/>
        <v>3538</v>
      </c>
      <c r="J32" s="116"/>
    </row>
    <row r="33" spans="1:11" ht="16.2" thickBot="1" x14ac:dyDescent="0.35">
      <c r="A33" s="9">
        <v>14</v>
      </c>
      <c r="B33" s="4" t="s">
        <v>344</v>
      </c>
      <c r="C33" s="116">
        <v>2972</v>
      </c>
      <c r="D33" s="116">
        <v>3538</v>
      </c>
      <c r="E33" s="116"/>
      <c r="F33" s="116"/>
      <c r="G33" s="116"/>
      <c r="H33" s="116">
        <f t="shared" si="3"/>
        <v>0</v>
      </c>
      <c r="I33" s="117">
        <f t="shared" si="4"/>
        <v>3538</v>
      </c>
      <c r="J33" s="116"/>
    </row>
    <row r="34" spans="1:11" ht="16.2" thickBot="1" x14ac:dyDescent="0.35">
      <c r="A34" s="9">
        <v>15</v>
      </c>
      <c r="B34" s="4" t="s">
        <v>642</v>
      </c>
      <c r="C34" s="116"/>
      <c r="D34" s="116">
        <v>3538</v>
      </c>
      <c r="E34" s="116"/>
      <c r="F34" s="116"/>
      <c r="G34" s="116"/>
      <c r="H34" s="116">
        <f t="shared" si="3"/>
        <v>0</v>
      </c>
      <c r="I34" s="117">
        <f t="shared" si="4"/>
        <v>3538</v>
      </c>
      <c r="J34" s="116"/>
    </row>
    <row r="35" spans="1:11" ht="16.2" thickBot="1" x14ac:dyDescent="0.35">
      <c r="A35" s="136">
        <v>16</v>
      </c>
      <c r="B35" s="94" t="s">
        <v>891</v>
      </c>
      <c r="C35" s="191"/>
      <c r="D35" s="192">
        <v>3538</v>
      </c>
      <c r="E35" s="191"/>
      <c r="F35" s="191"/>
      <c r="G35" s="192"/>
      <c r="H35" s="192">
        <f t="shared" si="3"/>
        <v>0</v>
      </c>
      <c r="I35" s="341">
        <f t="shared" si="4"/>
        <v>3538</v>
      </c>
      <c r="J35" s="342"/>
    </row>
    <row r="36" spans="1:11" ht="16.2" thickBot="1" x14ac:dyDescent="0.35">
      <c r="A36" s="9">
        <v>17</v>
      </c>
      <c r="B36" s="343" t="s">
        <v>1363</v>
      </c>
      <c r="C36" s="344"/>
      <c r="D36" s="345">
        <v>5578</v>
      </c>
      <c r="E36" s="344">
        <v>2040</v>
      </c>
      <c r="F36" s="344">
        <v>2038</v>
      </c>
      <c r="G36" s="350"/>
      <c r="H36" s="118">
        <f t="shared" si="3"/>
        <v>4078</v>
      </c>
      <c r="I36" s="118">
        <f t="shared" si="4"/>
        <v>1500</v>
      </c>
      <c r="J36" s="346" t="s">
        <v>1587</v>
      </c>
    </row>
    <row r="37" spans="1:11" ht="15.6" x14ac:dyDescent="0.3">
      <c r="A37" s="35"/>
      <c r="B37" s="34" t="s">
        <v>1657</v>
      </c>
      <c r="C37" s="339"/>
      <c r="D37" s="192">
        <v>6736</v>
      </c>
      <c r="E37" s="339">
        <v>1500</v>
      </c>
      <c r="F37" s="339">
        <v>600</v>
      </c>
      <c r="G37" s="340"/>
      <c r="H37" s="118">
        <f t="shared" si="3"/>
        <v>2100</v>
      </c>
      <c r="I37" s="118">
        <f t="shared" si="4"/>
        <v>4636</v>
      </c>
      <c r="J37" s="340" t="s">
        <v>1658</v>
      </c>
      <c r="K37">
        <v>3198</v>
      </c>
    </row>
    <row r="38" spans="1:11" ht="15.6" x14ac:dyDescent="0.3">
      <c r="A38" s="92"/>
      <c r="B38" s="92"/>
      <c r="C38" s="193"/>
      <c r="D38" s="515">
        <f>SUM(D19:D37)</f>
        <v>74500</v>
      </c>
      <c r="E38" s="515">
        <f t="shared" ref="E38:I38" si="5">SUM(E19:E37)</f>
        <v>11678</v>
      </c>
      <c r="F38" s="515">
        <f t="shared" si="5"/>
        <v>2638</v>
      </c>
      <c r="G38" s="515">
        <f t="shared" si="5"/>
        <v>0</v>
      </c>
      <c r="H38" s="515">
        <f t="shared" si="5"/>
        <v>14316</v>
      </c>
      <c r="I38" s="515">
        <f t="shared" si="5"/>
        <v>60184</v>
      </c>
      <c r="J38" s="194"/>
    </row>
    <row r="39" spans="1:11" ht="15.6" x14ac:dyDescent="0.3">
      <c r="A39" s="43"/>
      <c r="B39" s="43"/>
      <c r="C39" s="43"/>
      <c r="D39" s="43"/>
      <c r="E39" s="43"/>
      <c r="F39" s="43"/>
      <c r="G39" s="43"/>
      <c r="H39" s="42"/>
      <c r="I39" s="42"/>
      <c r="J39" s="42"/>
    </row>
    <row r="40" spans="1:11" ht="15.6" x14ac:dyDescent="0.3">
      <c r="A40" s="87"/>
      <c r="B40" s="87"/>
      <c r="C40" s="87"/>
      <c r="D40" s="87"/>
      <c r="E40" s="87"/>
      <c r="F40" s="87"/>
      <c r="G40" s="87"/>
      <c r="H40" s="88"/>
      <c r="I40" s="88"/>
      <c r="J40" s="88"/>
    </row>
    <row r="41" spans="1:11" ht="16.2" thickBot="1" x14ac:dyDescent="0.35">
      <c r="A41" s="137" t="s">
        <v>1313</v>
      </c>
      <c r="B41" s="79"/>
      <c r="C41" s="79"/>
      <c r="D41" s="79"/>
      <c r="E41" s="79"/>
      <c r="F41" s="79"/>
      <c r="G41" s="80"/>
      <c r="H41" s="80"/>
      <c r="I41" s="80"/>
      <c r="J41" s="80"/>
    </row>
    <row r="42" spans="1:11" ht="27.6" thickBot="1" x14ac:dyDescent="0.35">
      <c r="A42" s="223" t="s">
        <v>0</v>
      </c>
      <c r="B42" s="73" t="s">
        <v>1</v>
      </c>
      <c r="C42" s="223" t="s">
        <v>2</v>
      </c>
      <c r="D42" s="230" t="s">
        <v>854</v>
      </c>
      <c r="E42" s="601" t="s">
        <v>855</v>
      </c>
      <c r="F42" s="581"/>
      <c r="G42" s="602"/>
      <c r="H42" s="231" t="s">
        <v>1208</v>
      </c>
      <c r="I42" s="232" t="s">
        <v>856</v>
      </c>
      <c r="J42" s="8" t="s">
        <v>3</v>
      </c>
    </row>
    <row r="43" spans="1:11" ht="16.2" thickBot="1" x14ac:dyDescent="0.35">
      <c r="A43" s="17">
        <v>1</v>
      </c>
      <c r="B43" s="27" t="s">
        <v>649</v>
      </c>
      <c r="C43" s="29">
        <v>2684</v>
      </c>
      <c r="D43" s="6">
        <v>3203</v>
      </c>
      <c r="E43" s="6"/>
      <c r="F43" s="6"/>
      <c r="G43" s="6"/>
      <c r="H43" s="6">
        <f>SUM(E43:G43)</f>
        <v>0</v>
      </c>
      <c r="I43" s="72">
        <f>D43-H43</f>
        <v>3203</v>
      </c>
      <c r="J43" s="6"/>
    </row>
    <row r="44" spans="1:11" ht="16.2" thickBot="1" x14ac:dyDescent="0.35">
      <c r="A44" s="17">
        <v>2</v>
      </c>
      <c r="B44" s="27" t="s">
        <v>930</v>
      </c>
      <c r="C44" s="27"/>
      <c r="D44" s="6">
        <v>3203</v>
      </c>
      <c r="E44" s="6">
        <v>1000</v>
      </c>
      <c r="F44" s="6"/>
      <c r="G44" s="6"/>
      <c r="H44" s="6">
        <f t="shared" ref="H44:H63" si="6">SUM(E44:G44)</f>
        <v>1000</v>
      </c>
      <c r="I44" s="72">
        <f t="shared" ref="I44:I63" si="7">D44-H44</f>
        <v>2203</v>
      </c>
      <c r="J44" s="83"/>
    </row>
    <row r="45" spans="1:11" ht="16.2" thickBot="1" x14ac:dyDescent="0.35">
      <c r="A45" s="17">
        <v>3</v>
      </c>
      <c r="B45" s="27" t="s">
        <v>948</v>
      </c>
      <c r="C45" s="27"/>
      <c r="D45" s="6">
        <v>3203</v>
      </c>
      <c r="E45" s="6"/>
      <c r="F45" s="6"/>
      <c r="G45" s="6"/>
      <c r="H45" s="6">
        <f t="shared" si="6"/>
        <v>0</v>
      </c>
      <c r="I45" s="72">
        <f t="shared" si="7"/>
        <v>3203</v>
      </c>
      <c r="J45" s="74"/>
    </row>
    <row r="46" spans="1:11" ht="16.2" thickBot="1" x14ac:dyDescent="0.35">
      <c r="A46" s="17">
        <v>4</v>
      </c>
      <c r="B46" s="27" t="s">
        <v>1133</v>
      </c>
      <c r="C46" s="27">
        <v>609</v>
      </c>
      <c r="D46" s="6">
        <v>3203</v>
      </c>
      <c r="E46" s="6"/>
      <c r="F46" s="6"/>
      <c r="G46" s="6"/>
      <c r="H46" s="6">
        <f t="shared" si="6"/>
        <v>0</v>
      </c>
      <c r="I46" s="72">
        <f t="shared" si="7"/>
        <v>3203</v>
      </c>
      <c r="J46" s="74"/>
    </row>
    <row r="47" spans="1:11" ht="16.2" thickBot="1" x14ac:dyDescent="0.35">
      <c r="A47" s="17">
        <v>5</v>
      </c>
      <c r="B47" s="27" t="s">
        <v>1134</v>
      </c>
      <c r="C47" s="27">
        <v>258</v>
      </c>
      <c r="D47" s="6">
        <v>3203</v>
      </c>
      <c r="E47" s="6"/>
      <c r="F47" s="6"/>
      <c r="G47" s="6"/>
      <c r="H47" s="6">
        <f t="shared" si="6"/>
        <v>0</v>
      </c>
      <c r="I47" s="72">
        <f t="shared" si="7"/>
        <v>3203</v>
      </c>
      <c r="J47" s="74"/>
    </row>
    <row r="48" spans="1:11" ht="16.2" thickBot="1" x14ac:dyDescent="0.35">
      <c r="A48" s="17">
        <v>6</v>
      </c>
      <c r="B48" s="27" t="s">
        <v>1136</v>
      </c>
      <c r="C48" s="21"/>
      <c r="D48" s="6">
        <v>3203</v>
      </c>
      <c r="E48" s="21"/>
      <c r="F48" s="21"/>
      <c r="G48" s="30"/>
      <c r="H48" s="6">
        <f t="shared" si="6"/>
        <v>0</v>
      </c>
      <c r="I48" s="72">
        <f t="shared" si="7"/>
        <v>3203</v>
      </c>
      <c r="J48" s="74"/>
    </row>
    <row r="49" spans="1:10" ht="16.2" thickBot="1" x14ac:dyDescent="0.35">
      <c r="A49" s="17">
        <v>7</v>
      </c>
      <c r="B49" s="27" t="s">
        <v>1137</v>
      </c>
      <c r="C49" s="27">
        <v>2760</v>
      </c>
      <c r="D49" s="6">
        <v>3203</v>
      </c>
      <c r="E49" s="27"/>
      <c r="F49" s="27"/>
      <c r="G49" s="29"/>
      <c r="H49" s="6">
        <f t="shared" si="6"/>
        <v>0</v>
      </c>
      <c r="I49" s="72">
        <f t="shared" si="7"/>
        <v>3203</v>
      </c>
      <c r="J49" s="74"/>
    </row>
    <row r="50" spans="1:10" ht="16.2" thickBot="1" x14ac:dyDescent="0.35">
      <c r="A50" s="17">
        <v>8</v>
      </c>
      <c r="B50" s="27" t="s">
        <v>1138</v>
      </c>
      <c r="C50" s="27"/>
      <c r="D50" s="6">
        <v>3203</v>
      </c>
      <c r="E50" s="27"/>
      <c r="F50" s="27"/>
      <c r="G50" s="29"/>
      <c r="H50" s="6">
        <f t="shared" si="6"/>
        <v>0</v>
      </c>
      <c r="I50" s="72">
        <f t="shared" si="7"/>
        <v>3203</v>
      </c>
      <c r="J50" s="74"/>
    </row>
    <row r="51" spans="1:10" ht="16.2" thickBot="1" x14ac:dyDescent="0.35">
      <c r="A51" s="17">
        <v>9</v>
      </c>
      <c r="B51" s="27" t="s">
        <v>1140</v>
      </c>
      <c r="C51" s="21"/>
      <c r="D51" s="6">
        <v>3203</v>
      </c>
      <c r="E51" s="21"/>
      <c r="F51" s="21"/>
      <c r="G51" s="30"/>
      <c r="H51" s="6">
        <f t="shared" si="6"/>
        <v>0</v>
      </c>
      <c r="I51" s="72">
        <f t="shared" si="7"/>
        <v>3203</v>
      </c>
      <c r="J51" s="74"/>
    </row>
    <row r="52" spans="1:10" ht="16.2" thickBot="1" x14ac:dyDescent="0.35">
      <c r="A52" s="17">
        <v>10</v>
      </c>
      <c r="B52" s="3" t="s">
        <v>1141</v>
      </c>
      <c r="C52" s="3">
        <v>2396</v>
      </c>
      <c r="D52" s="6">
        <v>3203</v>
      </c>
      <c r="E52" s="3"/>
      <c r="F52" s="3"/>
      <c r="G52" s="17"/>
      <c r="H52" s="6">
        <f t="shared" si="6"/>
        <v>0</v>
      </c>
      <c r="I52" s="72">
        <f t="shared" si="7"/>
        <v>3203</v>
      </c>
      <c r="J52" s="74"/>
    </row>
    <row r="53" spans="1:10" ht="16.2" thickBot="1" x14ac:dyDescent="0.35">
      <c r="A53" s="17">
        <v>11</v>
      </c>
      <c r="B53" s="3" t="s">
        <v>1142</v>
      </c>
      <c r="C53" s="12">
        <v>2762</v>
      </c>
      <c r="D53" s="6">
        <v>3203</v>
      </c>
      <c r="E53" s="12"/>
      <c r="F53" s="12"/>
      <c r="G53" s="11"/>
      <c r="H53" s="6">
        <f t="shared" si="6"/>
        <v>0</v>
      </c>
      <c r="I53" s="72">
        <f t="shared" si="7"/>
        <v>3203</v>
      </c>
      <c r="J53" s="74"/>
    </row>
    <row r="54" spans="1:10" ht="16.2" thickBot="1" x14ac:dyDescent="0.35">
      <c r="A54" s="17">
        <v>12</v>
      </c>
      <c r="B54" s="10" t="s">
        <v>1144</v>
      </c>
      <c r="C54" s="10">
        <v>3359</v>
      </c>
      <c r="D54" s="6">
        <v>3203</v>
      </c>
      <c r="E54" s="10"/>
      <c r="F54" s="10"/>
      <c r="G54" s="17"/>
      <c r="H54" s="6">
        <f t="shared" si="6"/>
        <v>0</v>
      </c>
      <c r="I54" s="72">
        <f t="shared" si="7"/>
        <v>3203</v>
      </c>
      <c r="J54" s="74"/>
    </row>
    <row r="55" spans="1:10" ht="16.2" thickBot="1" x14ac:dyDescent="0.35">
      <c r="A55" s="17">
        <v>13</v>
      </c>
      <c r="B55" s="84" t="s">
        <v>1157</v>
      </c>
      <c r="C55" s="84">
        <v>2381</v>
      </c>
      <c r="D55" s="6">
        <v>3203</v>
      </c>
      <c r="E55" s="84">
        <v>2000</v>
      </c>
      <c r="F55" s="84"/>
      <c r="G55" s="84"/>
      <c r="H55" s="6">
        <f t="shared" si="6"/>
        <v>2000</v>
      </c>
      <c r="I55" s="72">
        <f t="shared" si="7"/>
        <v>1203</v>
      </c>
      <c r="J55" s="74"/>
    </row>
    <row r="56" spans="1:10" ht="16.2" thickBot="1" x14ac:dyDescent="0.35">
      <c r="A56" s="17">
        <v>14</v>
      </c>
      <c r="B56" s="31" t="s">
        <v>689</v>
      </c>
      <c r="C56" s="29">
        <v>2385</v>
      </c>
      <c r="D56" s="6">
        <v>3203</v>
      </c>
      <c r="E56" s="6">
        <v>1195</v>
      </c>
      <c r="F56" s="6">
        <v>2000</v>
      </c>
      <c r="G56" s="6">
        <v>10</v>
      </c>
      <c r="H56" s="6">
        <f t="shared" si="6"/>
        <v>3205</v>
      </c>
      <c r="I56" s="72">
        <f t="shared" si="7"/>
        <v>-2</v>
      </c>
      <c r="J56" s="84" t="s">
        <v>1395</v>
      </c>
    </row>
    <row r="57" spans="1:10" ht="16.2" thickBot="1" x14ac:dyDescent="0.35">
      <c r="A57" s="17">
        <v>15</v>
      </c>
      <c r="B57" s="165" t="s">
        <v>1147</v>
      </c>
      <c r="C57" s="165">
        <v>2358</v>
      </c>
      <c r="D57" s="6">
        <v>3203</v>
      </c>
      <c r="E57" s="83"/>
      <c r="F57" s="83"/>
      <c r="G57" s="83"/>
      <c r="H57" s="6">
        <f t="shared" si="6"/>
        <v>0</v>
      </c>
      <c r="I57" s="72">
        <f t="shared" si="7"/>
        <v>3203</v>
      </c>
      <c r="J57" s="182"/>
    </row>
    <row r="58" spans="1:10" ht="16.2" thickBot="1" x14ac:dyDescent="0.35">
      <c r="A58" s="17">
        <v>16</v>
      </c>
      <c r="B58" s="199" t="s">
        <v>699</v>
      </c>
      <c r="C58" s="195">
        <v>2357</v>
      </c>
      <c r="D58" s="6">
        <v>3203</v>
      </c>
      <c r="E58" s="83">
        <v>2050</v>
      </c>
      <c r="F58" s="83">
        <v>1153</v>
      </c>
      <c r="G58" s="83"/>
      <c r="H58" s="6">
        <f t="shared" si="6"/>
        <v>3203</v>
      </c>
      <c r="I58" s="72">
        <f t="shared" si="7"/>
        <v>0</v>
      </c>
      <c r="J58" s="235" t="s">
        <v>1395</v>
      </c>
    </row>
    <row r="59" spans="1:10" ht="16.8" thickTop="1" thickBot="1" x14ac:dyDescent="0.35">
      <c r="A59" s="17">
        <v>17</v>
      </c>
      <c r="B59" s="63" t="s">
        <v>701</v>
      </c>
      <c r="C59" s="62">
        <v>2359</v>
      </c>
      <c r="D59" s="6">
        <v>3203</v>
      </c>
      <c r="E59" s="6">
        <v>1700</v>
      </c>
      <c r="F59" s="6"/>
      <c r="G59" s="6"/>
      <c r="H59" s="6">
        <f t="shared" si="6"/>
        <v>1700</v>
      </c>
      <c r="I59" s="72">
        <f t="shared" si="7"/>
        <v>1503</v>
      </c>
      <c r="J59" s="6" t="s">
        <v>1395</v>
      </c>
    </row>
    <row r="60" spans="1:10" ht="16.8" thickTop="1" thickBot="1" x14ac:dyDescent="0.35">
      <c r="A60" s="17">
        <v>18</v>
      </c>
      <c r="B60" s="200" t="s">
        <v>180</v>
      </c>
      <c r="C60" s="62">
        <v>2365</v>
      </c>
      <c r="D60" s="6">
        <v>3203</v>
      </c>
      <c r="E60" s="6"/>
      <c r="F60" s="6"/>
      <c r="G60" s="6"/>
      <c r="H60" s="6">
        <f t="shared" si="6"/>
        <v>0</v>
      </c>
      <c r="I60" s="72">
        <f t="shared" si="7"/>
        <v>3203</v>
      </c>
      <c r="J60" s="37"/>
    </row>
    <row r="61" spans="1:10" ht="16.8" thickTop="1" thickBot="1" x14ac:dyDescent="0.35">
      <c r="A61" s="17">
        <v>19</v>
      </c>
      <c r="B61" s="200" t="s">
        <v>700</v>
      </c>
      <c r="C61" s="62">
        <v>2386</v>
      </c>
      <c r="D61" s="6">
        <v>3203</v>
      </c>
      <c r="E61" s="6">
        <v>1500</v>
      </c>
      <c r="F61" s="6"/>
      <c r="G61" s="6"/>
      <c r="H61" s="6">
        <f t="shared" si="6"/>
        <v>1500</v>
      </c>
      <c r="I61" s="72">
        <f t="shared" si="7"/>
        <v>1703</v>
      </c>
      <c r="J61" s="37" t="s">
        <v>1662</v>
      </c>
    </row>
    <row r="62" spans="1:10" ht="16.8" thickTop="1" thickBot="1" x14ac:dyDescent="0.35">
      <c r="A62" s="17">
        <v>20</v>
      </c>
      <c r="B62" s="200" t="s">
        <v>920</v>
      </c>
      <c r="C62" s="62">
        <v>2391</v>
      </c>
      <c r="D62" s="6">
        <v>3203</v>
      </c>
      <c r="E62" s="6">
        <v>1800</v>
      </c>
      <c r="F62" s="6">
        <v>1400</v>
      </c>
      <c r="G62" s="6"/>
      <c r="H62" s="6">
        <f t="shared" si="6"/>
        <v>3200</v>
      </c>
      <c r="I62" s="72">
        <f t="shared" si="7"/>
        <v>3</v>
      </c>
      <c r="J62" s="37" t="s">
        <v>1395</v>
      </c>
    </row>
    <row r="63" spans="1:10" ht="16.8" thickTop="1" thickBot="1" x14ac:dyDescent="0.35">
      <c r="A63" s="17">
        <v>21</v>
      </c>
      <c r="B63" s="201" t="s">
        <v>1139</v>
      </c>
      <c r="C63" s="197">
        <v>2363</v>
      </c>
      <c r="D63" s="6">
        <v>3203</v>
      </c>
      <c r="E63" s="152"/>
      <c r="F63" s="152"/>
      <c r="G63" s="152"/>
      <c r="H63" s="6">
        <f t="shared" si="6"/>
        <v>0</v>
      </c>
      <c r="I63" s="72">
        <f t="shared" si="7"/>
        <v>3203</v>
      </c>
      <c r="J63" s="198"/>
    </row>
    <row r="64" spans="1:10" ht="15.6" x14ac:dyDescent="0.3">
      <c r="A64" s="43"/>
      <c r="B64" s="43"/>
      <c r="C64" s="43"/>
      <c r="D64" s="495">
        <f>SUM(D43:D63)</f>
        <v>67263</v>
      </c>
      <c r="E64" s="495">
        <f t="shared" ref="E64:I64" si="8">SUM(E43:E63)</f>
        <v>11245</v>
      </c>
      <c r="F64" s="495">
        <f t="shared" si="8"/>
        <v>4553</v>
      </c>
      <c r="G64" s="495">
        <f t="shared" si="8"/>
        <v>10</v>
      </c>
      <c r="H64" s="495">
        <f t="shared" si="8"/>
        <v>15808</v>
      </c>
      <c r="I64" s="495">
        <f t="shared" si="8"/>
        <v>51455</v>
      </c>
      <c r="J64" s="42"/>
    </row>
    <row r="65" spans="1:11" ht="15.6" x14ac:dyDescent="0.3">
      <c r="A65" s="43"/>
      <c r="B65" s="43"/>
      <c r="C65" s="43"/>
      <c r="D65" s="42"/>
      <c r="E65" s="43"/>
      <c r="F65" s="43"/>
      <c r="G65" s="43"/>
      <c r="H65" s="42"/>
      <c r="I65" s="42"/>
      <c r="J65" s="42"/>
    </row>
    <row r="66" spans="1:11" ht="15.6" x14ac:dyDescent="0.3">
      <c r="A66" s="43"/>
      <c r="B66" s="43"/>
      <c r="C66" s="43"/>
      <c r="D66" s="42"/>
      <c r="E66" s="43"/>
      <c r="F66" s="43"/>
      <c r="G66" s="43"/>
      <c r="H66" s="42"/>
      <c r="I66" s="42"/>
      <c r="J66" s="42"/>
    </row>
    <row r="67" spans="1:11" ht="16.2" thickBot="1" x14ac:dyDescent="0.35">
      <c r="A67" s="137" t="s">
        <v>1314</v>
      </c>
      <c r="B67" s="79"/>
      <c r="C67" s="79"/>
      <c r="D67" s="79"/>
      <c r="E67" s="79"/>
      <c r="F67" s="79"/>
      <c r="G67" s="80"/>
      <c r="H67" s="80"/>
      <c r="I67" s="80"/>
      <c r="J67" s="80"/>
    </row>
    <row r="68" spans="1:11" ht="27.6" thickBot="1" x14ac:dyDescent="0.35">
      <c r="A68" s="223" t="s">
        <v>0</v>
      </c>
      <c r="B68" s="73" t="s">
        <v>1</v>
      </c>
      <c r="C68" s="223" t="s">
        <v>2</v>
      </c>
      <c r="D68" s="230" t="s">
        <v>854</v>
      </c>
      <c r="E68" s="601" t="s">
        <v>855</v>
      </c>
      <c r="F68" s="581"/>
      <c r="G68" s="602"/>
      <c r="H68" s="231" t="s">
        <v>1208</v>
      </c>
      <c r="I68" s="232" t="s">
        <v>856</v>
      </c>
      <c r="J68" s="6"/>
    </row>
    <row r="69" spans="1:11" ht="16.2" thickBot="1" x14ac:dyDescent="0.35">
      <c r="A69" s="17">
        <v>1</v>
      </c>
      <c r="B69" s="110" t="s">
        <v>713</v>
      </c>
      <c r="C69" s="32">
        <v>1868</v>
      </c>
      <c r="D69" s="122">
        <v>2744</v>
      </c>
      <c r="E69" s="6">
        <v>1500</v>
      </c>
      <c r="F69" s="6"/>
      <c r="G69" s="6"/>
      <c r="H69" s="233">
        <f t="shared" ref="H69:H104" si="9">SUM(E69:G69)</f>
        <v>1500</v>
      </c>
      <c r="I69" s="234">
        <f t="shared" ref="I69:I104" si="10">D69-H69</f>
        <v>1244</v>
      </c>
      <c r="J69" s="6" t="s">
        <v>1395</v>
      </c>
      <c r="K69" s="536">
        <f>60%*D69</f>
        <v>1646.3999999999999</v>
      </c>
    </row>
    <row r="70" spans="1:11" ht="16.2" thickBot="1" x14ac:dyDescent="0.35">
      <c r="A70" s="17">
        <v>2</v>
      </c>
      <c r="B70" s="123" t="s">
        <v>942</v>
      </c>
      <c r="C70" s="113">
        <v>1681</v>
      </c>
      <c r="D70" s="122">
        <v>2744</v>
      </c>
      <c r="E70" s="121">
        <v>1000</v>
      </c>
      <c r="F70" s="113"/>
      <c r="G70" s="113"/>
      <c r="H70" s="233">
        <f t="shared" si="9"/>
        <v>1000</v>
      </c>
      <c r="I70" s="234">
        <f t="shared" si="10"/>
        <v>1744</v>
      </c>
      <c r="J70" s="6" t="s">
        <v>1395</v>
      </c>
    </row>
    <row r="71" spans="1:11" ht="16.2" thickBot="1" x14ac:dyDescent="0.35">
      <c r="A71" s="17">
        <v>3</v>
      </c>
      <c r="B71" s="124" t="s">
        <v>1156</v>
      </c>
      <c r="C71" s="119">
        <v>1682</v>
      </c>
      <c r="D71" s="122">
        <v>2744</v>
      </c>
      <c r="E71" s="125">
        <v>2744</v>
      </c>
      <c r="F71" s="119"/>
      <c r="G71" s="119"/>
      <c r="H71" s="233">
        <f t="shared" si="9"/>
        <v>2744</v>
      </c>
      <c r="I71" s="234">
        <f t="shared" si="10"/>
        <v>0</v>
      </c>
      <c r="J71" s="113" t="s">
        <v>1395</v>
      </c>
    </row>
    <row r="72" spans="1:11" ht="16.2" thickBot="1" x14ac:dyDescent="0.35">
      <c r="A72" s="17">
        <v>4</v>
      </c>
      <c r="B72" s="131" t="s">
        <v>702</v>
      </c>
      <c r="C72" s="29">
        <v>1683</v>
      </c>
      <c r="D72" s="122">
        <v>2744</v>
      </c>
      <c r="E72" s="6">
        <v>1000</v>
      </c>
      <c r="F72" s="6">
        <v>1750</v>
      </c>
      <c r="G72" s="6"/>
      <c r="H72" s="233">
        <f t="shared" si="9"/>
        <v>2750</v>
      </c>
      <c r="I72" s="234">
        <f t="shared" si="10"/>
        <v>-6</v>
      </c>
      <c r="J72" s="83"/>
    </row>
    <row r="73" spans="1:11" ht="16.2" thickBot="1" x14ac:dyDescent="0.35">
      <c r="A73" s="17">
        <v>5</v>
      </c>
      <c r="B73" s="126" t="s">
        <v>185</v>
      </c>
      <c r="C73" s="120">
        <v>1685</v>
      </c>
      <c r="D73" s="122">
        <v>2744</v>
      </c>
      <c r="E73" s="121"/>
      <c r="F73" s="113"/>
      <c r="G73" s="113"/>
      <c r="H73" s="233">
        <f t="shared" si="9"/>
        <v>0</v>
      </c>
      <c r="I73" s="234">
        <f t="shared" si="10"/>
        <v>2744</v>
      </c>
      <c r="J73" s="212" t="s">
        <v>1597</v>
      </c>
    </row>
    <row r="74" spans="1:11" ht="16.2" thickBot="1" x14ac:dyDescent="0.35">
      <c r="A74" s="17">
        <v>6</v>
      </c>
      <c r="B74" s="126" t="s">
        <v>182</v>
      </c>
      <c r="C74" s="120">
        <v>1686</v>
      </c>
      <c r="D74" s="122">
        <v>2744</v>
      </c>
      <c r="E74" s="121">
        <v>2000</v>
      </c>
      <c r="F74" s="113"/>
      <c r="G74" s="113"/>
      <c r="H74" s="233">
        <f t="shared" si="9"/>
        <v>2000</v>
      </c>
      <c r="I74" s="234">
        <f t="shared" si="10"/>
        <v>744</v>
      </c>
      <c r="J74" s="212" t="s">
        <v>1518</v>
      </c>
    </row>
    <row r="75" spans="1:11" ht="16.2" thickBot="1" x14ac:dyDescent="0.35">
      <c r="A75" s="17">
        <v>7</v>
      </c>
      <c r="B75" s="123" t="s">
        <v>937</v>
      </c>
      <c r="C75" s="113"/>
      <c r="D75" s="122">
        <v>2744</v>
      </c>
      <c r="E75" s="121"/>
      <c r="F75" s="113"/>
      <c r="G75" s="113"/>
      <c r="H75" s="233">
        <f t="shared" si="9"/>
        <v>0</v>
      </c>
      <c r="I75" s="234">
        <f t="shared" si="10"/>
        <v>2744</v>
      </c>
      <c r="J75" s="212"/>
    </row>
    <row r="76" spans="1:11" ht="16.2" thickBot="1" x14ac:dyDescent="0.35">
      <c r="A76" s="17">
        <v>8</v>
      </c>
      <c r="B76" s="3" t="s">
        <v>338</v>
      </c>
      <c r="C76" s="17">
        <v>1614</v>
      </c>
      <c r="D76" s="122">
        <v>2744</v>
      </c>
      <c r="E76" s="6"/>
      <c r="F76" s="6"/>
      <c r="G76" s="6"/>
      <c r="H76" s="233">
        <f t="shared" si="9"/>
        <v>0</v>
      </c>
      <c r="I76" s="234">
        <f t="shared" si="10"/>
        <v>2744</v>
      </c>
      <c r="J76" s="7"/>
    </row>
    <row r="77" spans="1:11" ht="16.2" thickBot="1" x14ac:dyDescent="0.35">
      <c r="A77" s="17">
        <v>9</v>
      </c>
      <c r="B77" s="123" t="s">
        <v>949</v>
      </c>
      <c r="C77" s="113">
        <v>2766</v>
      </c>
      <c r="D77" s="122">
        <v>2744</v>
      </c>
      <c r="E77" s="121">
        <v>1372</v>
      </c>
      <c r="F77" s="113"/>
      <c r="G77" s="113"/>
      <c r="H77" s="233">
        <f t="shared" si="9"/>
        <v>1372</v>
      </c>
      <c r="I77" s="234">
        <f t="shared" si="10"/>
        <v>1372</v>
      </c>
      <c r="J77" s="212"/>
    </row>
    <row r="78" spans="1:11" ht="16.2" thickBot="1" x14ac:dyDescent="0.35">
      <c r="A78" s="17">
        <v>10</v>
      </c>
      <c r="B78" s="110" t="s">
        <v>947</v>
      </c>
      <c r="C78" s="64">
        <v>893</v>
      </c>
      <c r="D78" s="122">
        <v>2744</v>
      </c>
      <c r="E78" s="6">
        <v>1000</v>
      </c>
      <c r="F78" s="6"/>
      <c r="G78" s="6"/>
      <c r="H78" s="233">
        <f t="shared" si="9"/>
        <v>1000</v>
      </c>
      <c r="I78" s="234">
        <f t="shared" si="10"/>
        <v>1744</v>
      </c>
      <c r="J78" s="75" t="s">
        <v>1395</v>
      </c>
    </row>
    <row r="79" spans="1:11" ht="16.2" thickBot="1" x14ac:dyDescent="0.35">
      <c r="A79" s="17"/>
      <c r="B79" s="110" t="s">
        <v>1642</v>
      </c>
      <c r="C79" s="64">
        <v>2768</v>
      </c>
      <c r="D79" s="122">
        <v>2744</v>
      </c>
      <c r="E79" s="6">
        <v>2199</v>
      </c>
      <c r="F79" s="6"/>
      <c r="G79" s="6"/>
      <c r="H79" s="233"/>
      <c r="I79" s="234">
        <f t="shared" si="10"/>
        <v>2744</v>
      </c>
      <c r="J79" s="75"/>
    </row>
    <row r="80" spans="1:11" ht="16.2" thickBot="1" x14ac:dyDescent="0.35">
      <c r="A80" s="17">
        <v>11</v>
      </c>
      <c r="B80" s="3" t="s">
        <v>186</v>
      </c>
      <c r="C80" s="17">
        <v>1566</v>
      </c>
      <c r="D80" s="122">
        <v>2744</v>
      </c>
      <c r="E80" s="6"/>
      <c r="F80" s="6"/>
      <c r="G80" s="6"/>
      <c r="H80" s="233">
        <f t="shared" si="9"/>
        <v>0</v>
      </c>
      <c r="I80" s="234">
        <f t="shared" si="10"/>
        <v>2744</v>
      </c>
      <c r="J80" s="75"/>
    </row>
    <row r="81" spans="1:10" ht="16.2" thickBot="1" x14ac:dyDescent="0.35">
      <c r="A81" s="17">
        <v>12</v>
      </c>
      <c r="B81" s="31" t="s">
        <v>1148</v>
      </c>
      <c r="C81" s="31">
        <v>1842</v>
      </c>
      <c r="D81" s="122">
        <v>2744</v>
      </c>
      <c r="E81" s="6">
        <v>331</v>
      </c>
      <c r="F81" s="6">
        <v>1372</v>
      </c>
      <c r="G81" s="6"/>
      <c r="H81" s="233">
        <f t="shared" si="9"/>
        <v>1703</v>
      </c>
      <c r="I81" s="234">
        <f t="shared" si="10"/>
        <v>1041</v>
      </c>
      <c r="J81" s="74"/>
    </row>
    <row r="82" spans="1:10" ht="16.2" thickBot="1" x14ac:dyDescent="0.35">
      <c r="A82" s="17">
        <v>13</v>
      </c>
      <c r="B82" s="124" t="s">
        <v>1161</v>
      </c>
      <c r="C82" s="119">
        <v>2759</v>
      </c>
      <c r="D82" s="122">
        <v>2744</v>
      </c>
      <c r="E82" s="125">
        <v>1000</v>
      </c>
      <c r="F82" s="119"/>
      <c r="G82" s="119"/>
      <c r="H82" s="233">
        <f t="shared" si="9"/>
        <v>1000</v>
      </c>
      <c r="I82" s="234">
        <f t="shared" si="10"/>
        <v>1744</v>
      </c>
      <c r="J82" s="212"/>
    </row>
    <row r="83" spans="1:10" ht="16.2" thickBot="1" x14ac:dyDescent="0.35">
      <c r="A83" s="17">
        <v>14</v>
      </c>
      <c r="B83" s="126" t="s">
        <v>885</v>
      </c>
      <c r="C83" s="120">
        <v>1689</v>
      </c>
      <c r="D83" s="122">
        <v>2744</v>
      </c>
      <c r="E83" s="122">
        <v>2500</v>
      </c>
      <c r="F83" s="120">
        <v>244</v>
      </c>
      <c r="G83" s="120"/>
      <c r="H83" s="233">
        <f t="shared" si="9"/>
        <v>2744</v>
      </c>
      <c r="I83" s="234">
        <f t="shared" si="10"/>
        <v>0</v>
      </c>
      <c r="J83" s="348" t="s">
        <v>1395</v>
      </c>
    </row>
    <row r="84" spans="1:10" ht="16.2" thickBot="1" x14ac:dyDescent="0.35">
      <c r="A84" s="17">
        <v>15</v>
      </c>
      <c r="B84" s="126" t="s">
        <v>97</v>
      </c>
      <c r="C84" s="120">
        <v>1690</v>
      </c>
      <c r="D84" s="122">
        <v>2744</v>
      </c>
      <c r="E84" s="121">
        <v>1100</v>
      </c>
      <c r="F84" s="113"/>
      <c r="G84" s="113"/>
      <c r="H84" s="233">
        <f t="shared" si="9"/>
        <v>1100</v>
      </c>
      <c r="I84" s="234">
        <f t="shared" si="10"/>
        <v>1644</v>
      </c>
      <c r="J84" s="213" t="s">
        <v>1518</v>
      </c>
    </row>
    <row r="85" spans="1:10" ht="16.2" thickBot="1" x14ac:dyDescent="0.35">
      <c r="A85" s="17">
        <v>16</v>
      </c>
      <c r="B85" s="126" t="s">
        <v>184</v>
      </c>
      <c r="C85" s="120">
        <v>1608</v>
      </c>
      <c r="D85" s="122">
        <v>2744</v>
      </c>
      <c r="E85" s="121"/>
      <c r="F85" s="113"/>
      <c r="G85" s="113"/>
      <c r="H85" s="233">
        <f t="shared" si="9"/>
        <v>0</v>
      </c>
      <c r="I85" s="234">
        <f t="shared" si="10"/>
        <v>2744</v>
      </c>
      <c r="J85" s="213"/>
    </row>
    <row r="86" spans="1:10" ht="16.2" thickBot="1" x14ac:dyDescent="0.35">
      <c r="A86" s="17">
        <v>17</v>
      </c>
      <c r="B86" s="123" t="s">
        <v>916</v>
      </c>
      <c r="C86" s="113">
        <v>1692</v>
      </c>
      <c r="D86" s="122">
        <v>2744</v>
      </c>
      <c r="E86" s="121">
        <v>884</v>
      </c>
      <c r="F86" s="113"/>
      <c r="G86" s="113"/>
      <c r="H86" s="233">
        <f t="shared" si="9"/>
        <v>884</v>
      </c>
      <c r="I86" s="234">
        <f t="shared" si="10"/>
        <v>1860</v>
      </c>
      <c r="J86" s="213"/>
    </row>
    <row r="87" spans="1:10" ht="16.2" thickBot="1" x14ac:dyDescent="0.35">
      <c r="A87" s="17">
        <v>18</v>
      </c>
      <c r="B87" s="282" t="s">
        <v>703</v>
      </c>
      <c r="C87" s="195">
        <v>1693</v>
      </c>
      <c r="D87" s="122">
        <v>2744</v>
      </c>
      <c r="E87" s="83">
        <v>1500</v>
      </c>
      <c r="F87" s="83">
        <v>1244</v>
      </c>
      <c r="G87" s="83"/>
      <c r="H87" s="233">
        <f t="shared" si="9"/>
        <v>2744</v>
      </c>
      <c r="I87" s="234">
        <f t="shared" si="10"/>
        <v>0</v>
      </c>
      <c r="J87" s="74" t="s">
        <v>1723</v>
      </c>
    </row>
    <row r="88" spans="1:10" ht="16.2" thickBot="1" x14ac:dyDescent="0.35">
      <c r="A88" s="17">
        <v>19</v>
      </c>
      <c r="B88" s="123" t="s">
        <v>1150</v>
      </c>
      <c r="C88" s="113">
        <v>1888</v>
      </c>
      <c r="D88" s="122">
        <v>2744</v>
      </c>
      <c r="E88" s="121"/>
      <c r="F88" s="113"/>
      <c r="G88" s="113"/>
      <c r="H88" s="233">
        <f t="shared" si="9"/>
        <v>0</v>
      </c>
      <c r="I88" s="234">
        <f t="shared" si="10"/>
        <v>2744</v>
      </c>
      <c r="J88" s="476"/>
    </row>
    <row r="89" spans="1:10" ht="16.2" thickBot="1" x14ac:dyDescent="0.35">
      <c r="A89" s="17">
        <v>20</v>
      </c>
      <c r="B89" s="110" t="s">
        <v>965</v>
      </c>
      <c r="C89" s="32">
        <v>1696</v>
      </c>
      <c r="D89" s="122">
        <v>2744</v>
      </c>
      <c r="E89" s="6">
        <v>2000</v>
      </c>
      <c r="F89" s="6"/>
      <c r="G89" s="6"/>
      <c r="H89" s="233">
        <f t="shared" si="9"/>
        <v>2000</v>
      </c>
      <c r="I89" s="234">
        <f t="shared" si="10"/>
        <v>744</v>
      </c>
      <c r="J89" s="91" t="s">
        <v>1518</v>
      </c>
    </row>
    <row r="90" spans="1:10" ht="16.2" thickBot="1" x14ac:dyDescent="0.35">
      <c r="A90" s="17">
        <v>21</v>
      </c>
      <c r="B90" s="126" t="s">
        <v>881</v>
      </c>
      <c r="C90" s="120">
        <v>1696</v>
      </c>
      <c r="D90" s="122">
        <v>2744</v>
      </c>
      <c r="E90" s="122">
        <v>2000</v>
      </c>
      <c r="F90" s="120">
        <v>745</v>
      </c>
      <c r="G90" s="120"/>
      <c r="H90" s="233">
        <f t="shared" si="9"/>
        <v>2745</v>
      </c>
      <c r="I90" s="234">
        <f t="shared" si="10"/>
        <v>-1</v>
      </c>
      <c r="J90" s="476"/>
    </row>
    <row r="91" spans="1:10" ht="16.2" thickBot="1" x14ac:dyDescent="0.35">
      <c r="A91" s="17">
        <v>22</v>
      </c>
      <c r="B91" s="468" t="s">
        <v>1155</v>
      </c>
      <c r="C91" s="204">
        <v>1351</v>
      </c>
      <c r="D91" s="122">
        <v>2744</v>
      </c>
      <c r="E91" s="474">
        <v>824</v>
      </c>
      <c r="F91" s="204"/>
      <c r="G91" s="204"/>
      <c r="H91" s="233">
        <f t="shared" si="9"/>
        <v>824</v>
      </c>
      <c r="I91" s="234">
        <f t="shared" si="10"/>
        <v>1920</v>
      </c>
      <c r="J91" s="476" t="s">
        <v>1518</v>
      </c>
    </row>
    <row r="92" spans="1:10" ht="16.2" thickBot="1" x14ac:dyDescent="0.35">
      <c r="A92" s="17">
        <v>23</v>
      </c>
      <c r="B92" s="209" t="s">
        <v>187</v>
      </c>
      <c r="C92" s="17">
        <v>1575</v>
      </c>
      <c r="D92" s="122">
        <v>2744</v>
      </c>
      <c r="E92" s="6"/>
      <c r="F92" s="6"/>
      <c r="G92" s="6"/>
      <c r="H92" s="233">
        <f t="shared" si="9"/>
        <v>0</v>
      </c>
      <c r="I92" s="234">
        <f t="shared" si="10"/>
        <v>2744</v>
      </c>
      <c r="J92" s="6"/>
    </row>
    <row r="93" spans="1:10" ht="16.2" thickBot="1" x14ac:dyDescent="0.35">
      <c r="A93" s="17">
        <v>24</v>
      </c>
      <c r="B93" s="469" t="s">
        <v>1131</v>
      </c>
      <c r="C93" s="29">
        <v>1697</v>
      </c>
      <c r="D93" s="122">
        <v>2744</v>
      </c>
      <c r="E93" s="6">
        <v>1800</v>
      </c>
      <c r="F93" s="6">
        <v>944</v>
      </c>
      <c r="G93" s="6"/>
      <c r="H93" s="233">
        <f t="shared" si="9"/>
        <v>2744</v>
      </c>
      <c r="I93" s="234">
        <f t="shared" si="10"/>
        <v>0</v>
      </c>
      <c r="J93" s="6" t="s">
        <v>1395</v>
      </c>
    </row>
    <row r="94" spans="1:10" ht="16.2" thickBot="1" x14ac:dyDescent="0.35">
      <c r="A94" s="17">
        <v>25</v>
      </c>
      <c r="B94" s="208" t="s">
        <v>1160</v>
      </c>
      <c r="C94" s="32">
        <v>2404</v>
      </c>
      <c r="D94" s="122">
        <v>2744</v>
      </c>
      <c r="E94" s="6">
        <v>831</v>
      </c>
      <c r="F94" s="6">
        <v>1910</v>
      </c>
      <c r="G94" s="6"/>
      <c r="H94" s="233">
        <f t="shared" si="9"/>
        <v>2741</v>
      </c>
      <c r="I94" s="234">
        <f t="shared" si="10"/>
        <v>3</v>
      </c>
      <c r="J94" s="6"/>
    </row>
    <row r="95" spans="1:10" ht="16.2" thickBot="1" x14ac:dyDescent="0.35">
      <c r="A95" s="17">
        <v>26</v>
      </c>
      <c r="B95" s="471" t="s">
        <v>889</v>
      </c>
      <c r="C95" s="473"/>
      <c r="D95" s="122">
        <v>2744</v>
      </c>
      <c r="E95" s="475">
        <v>2744</v>
      </c>
      <c r="F95" s="473"/>
      <c r="G95" s="473"/>
      <c r="H95" s="233">
        <f t="shared" si="9"/>
        <v>2744</v>
      </c>
      <c r="I95" s="234">
        <f t="shared" si="10"/>
        <v>0</v>
      </c>
      <c r="J95" s="6" t="s">
        <v>1395</v>
      </c>
    </row>
    <row r="96" spans="1:10" ht="16.2" thickBot="1" x14ac:dyDescent="0.35">
      <c r="A96" s="17">
        <v>28</v>
      </c>
      <c r="B96" s="27" t="s">
        <v>289</v>
      </c>
      <c r="C96" s="29">
        <v>2403</v>
      </c>
      <c r="D96" s="122">
        <v>2744</v>
      </c>
      <c r="E96" s="6">
        <v>2000</v>
      </c>
      <c r="F96" s="6">
        <v>744</v>
      </c>
      <c r="G96" s="6"/>
      <c r="H96" s="233">
        <f t="shared" si="9"/>
        <v>2744</v>
      </c>
      <c r="I96" s="234">
        <f t="shared" si="10"/>
        <v>0</v>
      </c>
      <c r="J96" s="91" t="s">
        <v>1518</v>
      </c>
    </row>
    <row r="97" spans="1:10" ht="16.2" thickBot="1" x14ac:dyDescent="0.35">
      <c r="A97" s="17">
        <v>30</v>
      </c>
      <c r="B97" s="27" t="s">
        <v>335</v>
      </c>
      <c r="C97" s="29">
        <v>1700</v>
      </c>
      <c r="D97" s="122">
        <v>2744</v>
      </c>
      <c r="E97" s="6">
        <v>1500</v>
      </c>
      <c r="F97" s="6"/>
      <c r="G97" s="6"/>
      <c r="H97" s="233">
        <f t="shared" si="9"/>
        <v>1500</v>
      </c>
      <c r="I97" s="234">
        <f t="shared" si="10"/>
        <v>1244</v>
      </c>
      <c r="J97" s="6" t="s">
        <v>1395</v>
      </c>
    </row>
    <row r="98" spans="1:10" ht="16.2" thickBot="1" x14ac:dyDescent="0.35">
      <c r="A98" s="17">
        <v>31</v>
      </c>
      <c r="B98" s="209" t="s">
        <v>188</v>
      </c>
      <c r="C98" s="17">
        <v>1576</v>
      </c>
      <c r="D98" s="122">
        <v>2744</v>
      </c>
      <c r="E98" s="6"/>
      <c r="F98" s="6"/>
      <c r="G98" s="6"/>
      <c r="H98" s="233">
        <f t="shared" si="9"/>
        <v>0</v>
      </c>
      <c r="I98" s="234">
        <f t="shared" si="10"/>
        <v>2744</v>
      </c>
      <c r="J98" s="91"/>
    </row>
    <row r="99" spans="1:10" ht="16.2" thickBot="1" x14ac:dyDescent="0.35">
      <c r="A99" s="17">
        <v>32</v>
      </c>
      <c r="B99" s="211" t="s">
        <v>189</v>
      </c>
      <c r="C99" s="81">
        <v>1573</v>
      </c>
      <c r="D99" s="122">
        <v>2744</v>
      </c>
      <c r="E99" s="83"/>
      <c r="F99" s="83"/>
      <c r="G99" s="83"/>
      <c r="H99" s="233">
        <f t="shared" si="9"/>
        <v>0</v>
      </c>
      <c r="I99" s="234">
        <f t="shared" si="10"/>
        <v>2744</v>
      </c>
      <c r="J99" s="91"/>
    </row>
    <row r="100" spans="1:10" ht="16.2" thickBot="1" x14ac:dyDescent="0.35">
      <c r="A100" s="17">
        <v>33</v>
      </c>
      <c r="B100" s="126" t="s">
        <v>869</v>
      </c>
      <c r="C100" s="120">
        <v>2394</v>
      </c>
      <c r="D100" s="122">
        <v>2744</v>
      </c>
      <c r="E100" s="121"/>
      <c r="F100" s="113"/>
      <c r="G100" s="113"/>
      <c r="H100" s="233">
        <f t="shared" si="9"/>
        <v>0</v>
      </c>
      <c r="I100" s="234">
        <f t="shared" si="10"/>
        <v>2744</v>
      </c>
      <c r="J100" s="477"/>
    </row>
    <row r="101" spans="1:10" ht="16.2" thickBot="1" x14ac:dyDescent="0.35">
      <c r="A101" s="17">
        <v>34</v>
      </c>
      <c r="B101" s="123" t="s">
        <v>1154</v>
      </c>
      <c r="C101" s="113">
        <v>1712</v>
      </c>
      <c r="D101" s="122">
        <v>2744</v>
      </c>
      <c r="E101" s="121"/>
      <c r="F101" s="113"/>
      <c r="G101" s="113"/>
      <c r="H101" s="233">
        <f t="shared" si="9"/>
        <v>0</v>
      </c>
      <c r="I101" s="234">
        <f t="shared" si="10"/>
        <v>2744</v>
      </c>
      <c r="J101" s="477"/>
    </row>
    <row r="102" spans="1:10" ht="16.2" thickBot="1" x14ac:dyDescent="0.35">
      <c r="A102" s="17">
        <v>35</v>
      </c>
      <c r="B102" s="202" t="s">
        <v>1158</v>
      </c>
      <c r="C102" s="191">
        <v>2758</v>
      </c>
      <c r="D102" s="122">
        <v>2744</v>
      </c>
      <c r="E102" s="203">
        <v>800</v>
      </c>
      <c r="F102" s="191">
        <v>700</v>
      </c>
      <c r="G102" s="191"/>
      <c r="H102" s="233">
        <f t="shared" si="9"/>
        <v>1500</v>
      </c>
      <c r="I102" s="234">
        <f t="shared" si="10"/>
        <v>1244</v>
      </c>
      <c r="J102" s="477"/>
    </row>
    <row r="103" spans="1:10" ht="16.8" thickTop="1" thickBot="1" x14ac:dyDescent="0.35">
      <c r="A103" s="17">
        <v>36</v>
      </c>
      <c r="B103" s="470" t="s">
        <v>1149</v>
      </c>
      <c r="C103" s="472">
        <v>2974</v>
      </c>
      <c r="D103" s="122">
        <v>2744</v>
      </c>
      <c r="E103" s="32"/>
      <c r="F103" s="32"/>
      <c r="G103" s="32"/>
      <c r="H103" s="233">
        <f t="shared" si="9"/>
        <v>0</v>
      </c>
      <c r="I103" s="234">
        <f t="shared" si="10"/>
        <v>2744</v>
      </c>
      <c r="J103" s="91"/>
    </row>
    <row r="104" spans="1:10" ht="16.8" thickTop="1" thickBot="1" x14ac:dyDescent="0.35">
      <c r="A104" s="17">
        <v>37</v>
      </c>
      <c r="B104" s="127" t="s">
        <v>181</v>
      </c>
      <c r="C104" s="196">
        <v>1703</v>
      </c>
      <c r="D104" s="122">
        <v>2744</v>
      </c>
      <c r="E104" s="83">
        <v>1600</v>
      </c>
      <c r="F104" s="83">
        <v>1145</v>
      </c>
      <c r="G104" s="83"/>
      <c r="H104" s="233">
        <f t="shared" si="9"/>
        <v>2745</v>
      </c>
      <c r="I104" s="234">
        <f t="shared" si="10"/>
        <v>-1</v>
      </c>
      <c r="J104" s="91"/>
    </row>
    <row r="105" spans="1:10" ht="16.2" thickBot="1" x14ac:dyDescent="0.35">
      <c r="A105" s="17">
        <v>38</v>
      </c>
      <c r="B105" s="60" t="s">
        <v>1724</v>
      </c>
      <c r="C105" s="530">
        <v>1876</v>
      </c>
      <c r="D105" s="122">
        <v>2744</v>
      </c>
      <c r="E105" s="42">
        <v>731</v>
      </c>
      <c r="F105" s="42"/>
      <c r="G105" s="42"/>
      <c r="H105" s="233">
        <f t="shared" ref="H105" si="11">SUM(E105:G105)</f>
        <v>731</v>
      </c>
      <c r="I105" s="234">
        <f t="shared" ref="I105" si="12">D105-H105</f>
        <v>2013</v>
      </c>
      <c r="J105" s="91"/>
    </row>
    <row r="106" spans="1:10" ht="15.6" x14ac:dyDescent="0.3">
      <c r="A106" s="92"/>
      <c r="B106" s="207"/>
      <c r="C106" s="207"/>
      <c r="D106" s="514">
        <f t="shared" ref="D106:I106" si="13">SUM(D69:D104)</f>
        <v>98784</v>
      </c>
      <c r="E106" s="514">
        <f t="shared" si="13"/>
        <v>36229</v>
      </c>
      <c r="F106" s="514">
        <f t="shared" si="13"/>
        <v>10798</v>
      </c>
      <c r="G106" s="514">
        <f t="shared" si="13"/>
        <v>0</v>
      </c>
      <c r="H106" s="514">
        <f t="shared" si="13"/>
        <v>44828</v>
      </c>
      <c r="I106" s="514">
        <f t="shared" si="13"/>
        <v>53956</v>
      </c>
      <c r="J106" s="91"/>
    </row>
    <row r="107" spans="1:10" ht="15.6" x14ac:dyDescent="0.3">
      <c r="A107" s="43"/>
      <c r="B107" s="205"/>
      <c r="C107" s="205"/>
      <c r="D107" s="205"/>
      <c r="E107" s="205"/>
      <c r="F107" s="205"/>
      <c r="G107" s="205"/>
      <c r="H107" s="206"/>
      <c r="I107" s="206"/>
      <c r="J107" s="42"/>
    </row>
    <row r="108" spans="1:10" ht="15.6" x14ac:dyDescent="0.3">
      <c r="A108" s="87"/>
      <c r="B108" s="221"/>
      <c r="C108" s="221"/>
      <c r="D108" s="221"/>
      <c r="E108" s="221"/>
      <c r="F108" s="221"/>
      <c r="G108" s="221"/>
      <c r="H108" s="222"/>
      <c r="I108" s="222"/>
      <c r="J108" s="88"/>
    </row>
    <row r="109" spans="1:10" ht="15.6" x14ac:dyDescent="0.3">
      <c r="A109" s="178" t="s">
        <v>1207</v>
      </c>
      <c r="B109" s="219"/>
      <c r="C109" s="219"/>
      <c r="D109" s="219"/>
      <c r="E109" s="219"/>
      <c r="F109" s="219"/>
      <c r="G109" s="220"/>
      <c r="H109" s="220"/>
      <c r="I109" s="220"/>
      <c r="J109" s="220"/>
    </row>
    <row r="110" spans="1:10" ht="27.6" thickBot="1" x14ac:dyDescent="0.35">
      <c r="A110" s="223" t="s">
        <v>0</v>
      </c>
      <c r="B110" s="73" t="s">
        <v>1</v>
      </c>
      <c r="C110" s="223" t="s">
        <v>2</v>
      </c>
      <c r="D110" s="230" t="s">
        <v>854</v>
      </c>
      <c r="E110" s="598" t="s">
        <v>855</v>
      </c>
      <c r="F110" s="599"/>
      <c r="G110" s="600"/>
      <c r="H110" s="231" t="s">
        <v>1208</v>
      </c>
      <c r="I110" s="232" t="s">
        <v>856</v>
      </c>
      <c r="J110" s="210" t="s">
        <v>3</v>
      </c>
    </row>
    <row r="111" spans="1:10" ht="16.2" thickBot="1" x14ac:dyDescent="0.35">
      <c r="A111" s="81">
        <v>1</v>
      </c>
      <c r="B111" s="159" t="s">
        <v>1383</v>
      </c>
      <c r="C111" s="159"/>
      <c r="D111" s="83">
        <v>5578</v>
      </c>
      <c r="E111" s="83">
        <v>2040</v>
      </c>
      <c r="F111" s="83">
        <v>738</v>
      </c>
      <c r="G111" s="83"/>
      <c r="H111" s="83">
        <f>SUM(E111:G111)</f>
        <v>2778</v>
      </c>
      <c r="I111" s="179">
        <f>D111-H111</f>
        <v>2800</v>
      </c>
      <c r="J111" s="162"/>
    </row>
    <row r="112" spans="1:10" ht="16.2" thickBot="1" x14ac:dyDescent="0.35">
      <c r="A112" s="89">
        <v>2</v>
      </c>
      <c r="B112" s="10" t="s">
        <v>1497</v>
      </c>
      <c r="C112" s="17"/>
      <c r="D112" s="83">
        <v>5578</v>
      </c>
      <c r="E112" s="6">
        <v>2040</v>
      </c>
      <c r="F112" s="6">
        <v>3000</v>
      </c>
      <c r="G112" s="6">
        <v>538</v>
      </c>
      <c r="H112" s="83">
        <f t="shared" ref="H112" si="14">SUM(E112:G112)</f>
        <v>5578</v>
      </c>
      <c r="I112" s="179">
        <f t="shared" ref="I112" si="15">D112-H112</f>
        <v>0</v>
      </c>
      <c r="J112" s="74" t="s">
        <v>1395</v>
      </c>
    </row>
    <row r="113" spans="1:10" ht="15.6" x14ac:dyDescent="0.3">
      <c r="A113" s="39"/>
      <c r="B113" s="155"/>
      <c r="C113" s="155"/>
      <c r="D113" s="513">
        <f>SUM(D111:D112)</f>
        <v>11156</v>
      </c>
      <c r="E113" s="513">
        <f t="shared" ref="E113:I113" si="16">SUM(E111:E112)</f>
        <v>4080</v>
      </c>
      <c r="F113" s="513">
        <f t="shared" si="16"/>
        <v>3738</v>
      </c>
      <c r="G113" s="513">
        <f t="shared" si="16"/>
        <v>538</v>
      </c>
      <c r="H113" s="513">
        <f t="shared" si="16"/>
        <v>8356</v>
      </c>
      <c r="I113" s="513">
        <f t="shared" si="16"/>
        <v>2800</v>
      </c>
      <c r="J113" s="42"/>
    </row>
    <row r="114" spans="1:10" ht="15.6" x14ac:dyDescent="0.3">
      <c r="A114" s="39"/>
      <c r="B114" s="155"/>
      <c r="C114" s="155"/>
      <c r="D114" s="155"/>
      <c r="E114" s="155"/>
      <c r="F114" s="155"/>
      <c r="G114" s="39"/>
      <c r="H114" s="42"/>
      <c r="I114" s="42"/>
      <c r="J114" s="42"/>
    </row>
    <row r="115" spans="1:10" ht="15.6" x14ac:dyDescent="0.3">
      <c r="A115" s="39"/>
      <c r="B115" s="155"/>
      <c r="C115" s="155"/>
      <c r="D115" s="155"/>
      <c r="E115" s="155"/>
      <c r="F115" s="155"/>
      <c r="G115" s="39"/>
      <c r="H115" s="42"/>
      <c r="I115" s="42"/>
      <c r="J115" s="42"/>
    </row>
    <row r="116" spans="1:10" ht="15.6" x14ac:dyDescent="0.3">
      <c r="A116" s="178" t="s">
        <v>1315</v>
      </c>
      <c r="B116" s="34"/>
      <c r="C116" s="34"/>
      <c r="D116" s="34"/>
      <c r="E116" s="34"/>
      <c r="F116" s="34"/>
      <c r="G116" s="42"/>
      <c r="H116" s="42"/>
      <c r="I116" s="42"/>
      <c r="J116" s="42"/>
    </row>
    <row r="117" spans="1:10" ht="27" x14ac:dyDescent="0.3">
      <c r="A117" s="223" t="s">
        <v>0</v>
      </c>
      <c r="B117" s="73" t="s">
        <v>1</v>
      </c>
      <c r="C117" s="223" t="s">
        <v>2</v>
      </c>
      <c r="D117" s="230" t="s">
        <v>854</v>
      </c>
      <c r="E117" s="595" t="s">
        <v>855</v>
      </c>
      <c r="F117" s="596"/>
      <c r="G117" s="597"/>
      <c r="H117" s="231" t="s">
        <v>1208</v>
      </c>
      <c r="I117" s="232" t="s">
        <v>856</v>
      </c>
      <c r="J117" s="210" t="s">
        <v>3</v>
      </c>
    </row>
    <row r="118" spans="1:10" ht="16.2" thickBot="1" x14ac:dyDescent="0.35">
      <c r="A118" s="228">
        <v>1</v>
      </c>
      <c r="B118" s="174" t="s">
        <v>961</v>
      </c>
      <c r="C118" s="174"/>
      <c r="D118" s="174">
        <v>3203</v>
      </c>
      <c r="E118" s="174">
        <v>716</v>
      </c>
      <c r="F118" s="174"/>
      <c r="G118" s="174"/>
      <c r="H118" s="79">
        <f>SUM(E118:G118)</f>
        <v>716</v>
      </c>
      <c r="I118" s="229">
        <f>D118-H118</f>
        <v>2487</v>
      </c>
      <c r="J118" s="74" t="s">
        <v>1677</v>
      </c>
    </row>
    <row r="119" spans="1:10" ht="16.2" thickBot="1" x14ac:dyDescent="0.35">
      <c r="A119" s="215">
        <v>2</v>
      </c>
      <c r="B119" s="20" t="s">
        <v>905</v>
      </c>
      <c r="C119" s="20"/>
      <c r="D119" s="174">
        <v>3203</v>
      </c>
      <c r="E119" s="4"/>
      <c r="F119" s="4"/>
      <c r="G119" s="4"/>
      <c r="H119" s="4">
        <f t="shared" ref="H119:H121" si="17">SUM(E119:G119)</f>
        <v>0</v>
      </c>
      <c r="I119" s="114">
        <f t="shared" ref="I119:I121" si="18">D119-H119</f>
        <v>3203</v>
      </c>
      <c r="J119" s="74"/>
    </row>
    <row r="120" spans="1:10" ht="16.2" thickBot="1" x14ac:dyDescent="0.35">
      <c r="A120" s="214">
        <v>3</v>
      </c>
      <c r="B120" s="20" t="s">
        <v>894</v>
      </c>
      <c r="C120" s="20"/>
      <c r="D120" s="174">
        <v>3203</v>
      </c>
      <c r="E120" s="4"/>
      <c r="F120" s="4"/>
      <c r="G120" s="4"/>
      <c r="H120" s="4">
        <f t="shared" si="17"/>
        <v>0</v>
      </c>
      <c r="I120" s="114">
        <f t="shared" si="18"/>
        <v>3203</v>
      </c>
      <c r="J120" s="74"/>
    </row>
    <row r="121" spans="1:10" ht="16.2" thickBot="1" x14ac:dyDescent="0.35">
      <c r="A121" s="216">
        <v>4</v>
      </c>
      <c r="B121" s="217" t="s">
        <v>878</v>
      </c>
      <c r="C121" s="173"/>
      <c r="D121" s="174">
        <v>3203</v>
      </c>
      <c r="E121" s="94">
        <v>2420</v>
      </c>
      <c r="F121" s="94"/>
      <c r="G121" s="94"/>
      <c r="H121" s="4">
        <f t="shared" si="17"/>
        <v>2420</v>
      </c>
      <c r="I121" s="114">
        <f t="shared" si="18"/>
        <v>783</v>
      </c>
      <c r="J121" s="6" t="s">
        <v>1395</v>
      </c>
    </row>
    <row r="122" spans="1:10" ht="15.6" x14ac:dyDescent="0.3">
      <c r="A122" s="92"/>
      <c r="B122" s="92"/>
      <c r="C122" s="92"/>
      <c r="D122" s="502">
        <f>SUM(D118:D121)</f>
        <v>12812</v>
      </c>
      <c r="E122" s="502">
        <f t="shared" ref="E122:I122" si="19">SUM(E118:E121)</f>
        <v>3136</v>
      </c>
      <c r="F122" s="502">
        <f t="shared" si="19"/>
        <v>0</v>
      </c>
      <c r="G122" s="502">
        <f t="shared" si="19"/>
        <v>0</v>
      </c>
      <c r="H122" s="502">
        <f t="shared" si="19"/>
        <v>3136</v>
      </c>
      <c r="I122" s="502">
        <f t="shared" si="19"/>
        <v>9676</v>
      </c>
      <c r="J122" s="91"/>
    </row>
    <row r="123" spans="1:10" ht="15.6" x14ac:dyDescent="0.3">
      <c r="A123" s="43"/>
      <c r="B123" s="43"/>
      <c r="C123" s="43"/>
      <c r="D123" s="43"/>
      <c r="E123" s="43"/>
      <c r="F123" s="43"/>
      <c r="G123" s="43"/>
      <c r="H123" s="42"/>
      <c r="I123" s="42"/>
      <c r="J123" s="42"/>
    </row>
    <row r="124" spans="1:10" ht="15.6" x14ac:dyDescent="0.3">
      <c r="A124" s="87"/>
      <c r="B124" s="87"/>
      <c r="C124" s="87"/>
      <c r="D124" s="87"/>
      <c r="E124" s="87"/>
      <c r="F124" s="87"/>
      <c r="G124" s="87"/>
      <c r="H124" s="88"/>
      <c r="I124" s="88"/>
      <c r="J124" s="88"/>
    </row>
    <row r="125" spans="1:10" ht="16.2" thickBot="1" x14ac:dyDescent="0.35">
      <c r="A125" s="85" t="s">
        <v>1316</v>
      </c>
      <c r="B125" s="79"/>
      <c r="C125" s="79"/>
      <c r="D125" s="79"/>
      <c r="E125" s="79"/>
      <c r="F125" s="79"/>
      <c r="G125" s="80"/>
      <c r="H125" s="80"/>
      <c r="I125" s="80"/>
      <c r="J125" s="80"/>
    </row>
    <row r="126" spans="1:10" ht="27.6" thickBot="1" x14ac:dyDescent="0.35">
      <c r="A126" s="23" t="s">
        <v>0</v>
      </c>
      <c r="B126" s="8" t="s">
        <v>1</v>
      </c>
      <c r="C126" s="64" t="s">
        <v>2</v>
      </c>
      <c r="D126" s="69" t="s">
        <v>854</v>
      </c>
      <c r="E126" s="580" t="s">
        <v>855</v>
      </c>
      <c r="F126" s="581"/>
      <c r="G126" s="581"/>
      <c r="H126" s="225" t="s">
        <v>1208</v>
      </c>
      <c r="I126" s="71" t="s">
        <v>856</v>
      </c>
      <c r="J126" s="73" t="s">
        <v>3</v>
      </c>
    </row>
    <row r="127" spans="1:10" ht="16.2" thickBot="1" x14ac:dyDescent="0.35">
      <c r="A127" s="17">
        <v>1</v>
      </c>
      <c r="B127" s="3" t="s">
        <v>1143</v>
      </c>
      <c r="C127" s="7">
        <v>2356</v>
      </c>
      <c r="D127" s="6">
        <v>2744</v>
      </c>
      <c r="E127" s="6"/>
      <c r="F127" s="6"/>
      <c r="G127" s="6"/>
      <c r="H127" s="6">
        <f>SUM(E127:G127)</f>
        <v>0</v>
      </c>
      <c r="I127" s="72">
        <f>D127-H127</f>
        <v>2744</v>
      </c>
      <c r="J127" s="74" t="s">
        <v>1132</v>
      </c>
    </row>
    <row r="128" spans="1:10" ht="16.2" thickBot="1" x14ac:dyDescent="0.35">
      <c r="A128" s="17">
        <v>2</v>
      </c>
      <c r="B128" s="3" t="s">
        <v>98</v>
      </c>
      <c r="C128" s="19"/>
      <c r="D128" s="6">
        <v>2744</v>
      </c>
      <c r="E128" s="6"/>
      <c r="F128" s="6"/>
      <c r="G128" s="6"/>
      <c r="H128" s="6">
        <f t="shared" ref="H128:H142" si="20">SUM(E128:G128)</f>
        <v>0</v>
      </c>
      <c r="I128" s="72">
        <f t="shared" ref="I128:I142" si="21">D128-H128</f>
        <v>2744</v>
      </c>
      <c r="J128" s="74"/>
    </row>
    <row r="129" spans="1:10" ht="16.2" thickBot="1" x14ac:dyDescent="0.35">
      <c r="A129" s="17">
        <v>3</v>
      </c>
      <c r="B129" s="3" t="s">
        <v>1159</v>
      </c>
      <c r="C129" s="9">
        <v>2771</v>
      </c>
      <c r="D129" s="6">
        <v>2744</v>
      </c>
      <c r="E129" s="7">
        <v>1050</v>
      </c>
      <c r="F129" s="7"/>
      <c r="G129" s="7"/>
      <c r="H129" s="6">
        <f t="shared" si="20"/>
        <v>1050</v>
      </c>
      <c r="I129" s="72">
        <f t="shared" si="21"/>
        <v>1694</v>
      </c>
      <c r="J129" s="74"/>
    </row>
    <row r="130" spans="1:10" ht="16.2" thickBot="1" x14ac:dyDescent="0.35">
      <c r="A130" s="17">
        <v>4</v>
      </c>
      <c r="B130" s="4" t="s">
        <v>192</v>
      </c>
      <c r="C130" s="7"/>
      <c r="D130" s="6">
        <v>2744</v>
      </c>
      <c r="E130" s="6"/>
      <c r="F130" s="6"/>
      <c r="G130" s="6"/>
      <c r="H130" s="6">
        <f t="shared" si="20"/>
        <v>0</v>
      </c>
      <c r="I130" s="72">
        <f t="shared" si="21"/>
        <v>2744</v>
      </c>
      <c r="J130" s="74"/>
    </row>
    <row r="131" spans="1:10" ht="16.2" thickBot="1" x14ac:dyDescent="0.35">
      <c r="A131" s="17">
        <v>5</v>
      </c>
      <c r="B131" s="3" t="s">
        <v>193</v>
      </c>
      <c r="C131" s="17">
        <v>1713</v>
      </c>
      <c r="D131" s="6">
        <v>2744</v>
      </c>
      <c r="E131" s="19"/>
      <c r="G131" s="6"/>
      <c r="H131" s="6">
        <f t="shared" si="20"/>
        <v>0</v>
      </c>
      <c r="I131" s="72">
        <f t="shared" si="21"/>
        <v>2744</v>
      </c>
      <c r="J131" s="75"/>
    </row>
    <row r="132" spans="1:10" ht="16.2" thickBot="1" x14ac:dyDescent="0.35">
      <c r="A132" s="17">
        <v>6</v>
      </c>
      <c r="B132" s="4" t="s">
        <v>23</v>
      </c>
      <c r="C132" s="9">
        <v>1710</v>
      </c>
      <c r="D132" s="6">
        <v>2744</v>
      </c>
      <c r="E132" s="9"/>
      <c r="F132" s="9"/>
      <c r="G132" s="6"/>
      <c r="H132" s="6">
        <f t="shared" si="20"/>
        <v>0</v>
      </c>
      <c r="I132" s="72">
        <f t="shared" si="21"/>
        <v>2744</v>
      </c>
      <c r="J132" s="74"/>
    </row>
    <row r="133" spans="1:10" ht="16.2" thickBot="1" x14ac:dyDescent="0.35">
      <c r="A133" s="17">
        <v>7</v>
      </c>
      <c r="B133" s="568" t="s">
        <v>194</v>
      </c>
      <c r="C133" s="549">
        <v>1701</v>
      </c>
      <c r="D133" s="553">
        <v>2744</v>
      </c>
      <c r="E133" s="569"/>
      <c r="F133" s="549"/>
      <c r="G133" s="553"/>
      <c r="H133" s="553">
        <f t="shared" si="20"/>
        <v>0</v>
      </c>
      <c r="I133" s="570">
        <f t="shared" si="21"/>
        <v>2744</v>
      </c>
      <c r="J133" s="74" t="s">
        <v>1736</v>
      </c>
    </row>
    <row r="134" spans="1:10" ht="16.2" thickBot="1" x14ac:dyDescent="0.35">
      <c r="A134" s="17">
        <v>8</v>
      </c>
      <c r="B134" s="3" t="s">
        <v>315</v>
      </c>
      <c r="C134" s="9">
        <v>1841</v>
      </c>
      <c r="D134" s="6">
        <v>2744</v>
      </c>
      <c r="E134" s="7"/>
      <c r="F134" s="9"/>
      <c r="G134" s="6"/>
      <c r="H134" s="6">
        <f t="shared" si="20"/>
        <v>0</v>
      </c>
      <c r="I134" s="72">
        <f t="shared" si="21"/>
        <v>2744</v>
      </c>
      <c r="J134" s="74"/>
    </row>
    <row r="135" spans="1:10" ht="16.2" thickBot="1" x14ac:dyDescent="0.35">
      <c r="A135" s="17">
        <v>9</v>
      </c>
      <c r="B135" s="3" t="s">
        <v>1151</v>
      </c>
      <c r="C135" s="9">
        <v>2416</v>
      </c>
      <c r="D135" s="6">
        <v>2744</v>
      </c>
      <c r="E135" s="6"/>
      <c r="F135" s="6"/>
      <c r="G135" s="6"/>
      <c r="H135" s="6">
        <f t="shared" si="20"/>
        <v>0</v>
      </c>
      <c r="I135" s="72">
        <f t="shared" si="21"/>
        <v>2744</v>
      </c>
      <c r="J135" s="74"/>
    </row>
    <row r="136" spans="1:10" ht="16.2" thickBot="1" x14ac:dyDescent="0.35">
      <c r="A136" s="17">
        <v>10</v>
      </c>
      <c r="B136" s="3" t="s">
        <v>1152</v>
      </c>
      <c r="C136" s="9">
        <v>2414</v>
      </c>
      <c r="D136" s="6">
        <v>2744</v>
      </c>
      <c r="E136" s="6"/>
      <c r="F136" s="6"/>
      <c r="G136" s="6"/>
      <c r="H136" s="6">
        <f t="shared" si="20"/>
        <v>0</v>
      </c>
      <c r="I136" s="72">
        <f t="shared" si="21"/>
        <v>2744</v>
      </c>
      <c r="J136" s="74"/>
    </row>
    <row r="137" spans="1:10" ht="16.2" thickBot="1" x14ac:dyDescent="0.35">
      <c r="A137" s="17">
        <v>11</v>
      </c>
      <c r="B137" s="94" t="s">
        <v>1153</v>
      </c>
      <c r="C137" s="136">
        <v>2415</v>
      </c>
      <c r="D137" s="6">
        <v>2744</v>
      </c>
      <c r="E137" s="83"/>
      <c r="F137" s="83"/>
      <c r="G137" s="83"/>
      <c r="H137" s="6">
        <f t="shared" si="20"/>
        <v>0</v>
      </c>
      <c r="I137" s="72">
        <f t="shared" si="21"/>
        <v>2744</v>
      </c>
      <c r="J137" s="74"/>
    </row>
    <row r="138" spans="1:10" ht="16.2" thickBot="1" x14ac:dyDescent="0.35">
      <c r="A138" s="17">
        <v>12</v>
      </c>
      <c r="B138" s="3" t="s">
        <v>679</v>
      </c>
      <c r="C138" s="9">
        <v>2420</v>
      </c>
      <c r="D138" s="6">
        <v>2744</v>
      </c>
      <c r="E138" s="6"/>
      <c r="F138" s="6"/>
      <c r="G138" s="6"/>
      <c r="H138" s="6">
        <f t="shared" si="20"/>
        <v>0</v>
      </c>
      <c r="I138" s="72">
        <f t="shared" si="21"/>
        <v>2744</v>
      </c>
      <c r="J138" s="74"/>
    </row>
    <row r="139" spans="1:10" ht="16.2" thickBot="1" x14ac:dyDescent="0.35">
      <c r="A139" s="17">
        <v>13</v>
      </c>
      <c r="B139" s="4" t="s">
        <v>99</v>
      </c>
      <c r="C139" s="9">
        <v>2408</v>
      </c>
      <c r="D139" s="6">
        <v>2744</v>
      </c>
      <c r="E139" s="64">
        <v>1300</v>
      </c>
      <c r="F139" s="64"/>
      <c r="G139" s="64"/>
      <c r="H139" s="6">
        <f t="shared" si="20"/>
        <v>1300</v>
      </c>
      <c r="I139" s="72">
        <f t="shared" si="21"/>
        <v>1444</v>
      </c>
      <c r="J139" s="6" t="s">
        <v>1395</v>
      </c>
    </row>
    <row r="140" spans="1:10" ht="16.2" thickBot="1" x14ac:dyDescent="0.35">
      <c r="A140" s="17">
        <v>14</v>
      </c>
      <c r="B140" s="3" t="s">
        <v>191</v>
      </c>
      <c r="C140" s="9">
        <v>2410</v>
      </c>
      <c r="D140" s="6">
        <v>2744</v>
      </c>
      <c r="E140" s="7"/>
      <c r="F140" s="9"/>
      <c r="G140" s="6"/>
      <c r="H140" s="6">
        <f t="shared" si="20"/>
        <v>0</v>
      </c>
      <c r="I140" s="72">
        <f t="shared" si="21"/>
        <v>2744</v>
      </c>
      <c r="J140" s="7"/>
    </row>
    <row r="141" spans="1:10" ht="16.2" thickBot="1" x14ac:dyDescent="0.35">
      <c r="A141" s="17">
        <v>15</v>
      </c>
      <c r="B141" s="3" t="s">
        <v>680</v>
      </c>
      <c r="C141" s="9">
        <v>1579</v>
      </c>
      <c r="D141" s="6">
        <v>2744</v>
      </c>
      <c r="E141" s="7"/>
      <c r="F141" s="9"/>
      <c r="G141" s="6"/>
      <c r="H141" s="6">
        <f t="shared" si="20"/>
        <v>0</v>
      </c>
      <c r="I141" s="72">
        <f t="shared" si="21"/>
        <v>2744</v>
      </c>
      <c r="J141" s="7"/>
    </row>
    <row r="142" spans="1:10" ht="16.2" thickBot="1" x14ac:dyDescent="0.35">
      <c r="A142" s="17">
        <v>16</v>
      </c>
      <c r="B142" s="4" t="s">
        <v>190</v>
      </c>
      <c r="C142" s="9">
        <v>2417</v>
      </c>
      <c r="D142" s="6">
        <v>2744</v>
      </c>
      <c r="E142" s="9">
        <v>1000</v>
      </c>
      <c r="F142" s="9"/>
      <c r="G142" s="6"/>
      <c r="H142" s="6">
        <f t="shared" si="20"/>
        <v>1000</v>
      </c>
      <c r="I142" s="72">
        <f t="shared" si="21"/>
        <v>1744</v>
      </c>
      <c r="J142" s="7" t="s">
        <v>1395</v>
      </c>
    </row>
    <row r="143" spans="1:10" ht="15.6" x14ac:dyDescent="0.3">
      <c r="A143" s="43"/>
      <c r="B143" s="43"/>
      <c r="C143" s="43"/>
      <c r="D143" s="505">
        <f>SUM(D127:D142)</f>
        <v>43904</v>
      </c>
      <c r="E143" s="505">
        <f t="shared" ref="E143:I143" si="22">SUM(E127:E142)</f>
        <v>3350</v>
      </c>
      <c r="F143" s="505">
        <f t="shared" si="22"/>
        <v>0</v>
      </c>
      <c r="G143" s="505">
        <f t="shared" si="22"/>
        <v>0</v>
      </c>
      <c r="H143" s="505">
        <f t="shared" si="22"/>
        <v>3350</v>
      </c>
      <c r="I143" s="505">
        <f t="shared" si="22"/>
        <v>40554</v>
      </c>
      <c r="J143" s="42"/>
    </row>
    <row r="144" spans="1:10" ht="15.6" x14ac:dyDescent="0.3">
      <c r="A144" s="43"/>
      <c r="B144" s="43"/>
      <c r="C144" s="43"/>
      <c r="D144" s="43"/>
      <c r="E144" s="43"/>
      <c r="F144" s="43"/>
      <c r="G144" s="43"/>
      <c r="H144" s="42"/>
      <c r="I144" s="42"/>
      <c r="J144" s="42"/>
    </row>
    <row r="145" spans="1:10" ht="15.6" x14ac:dyDescent="0.3">
      <c r="A145" s="43"/>
      <c r="B145" s="43"/>
      <c r="C145" s="43"/>
      <c r="D145" s="43"/>
      <c r="E145" s="43"/>
      <c r="F145" s="43"/>
      <c r="G145" s="43"/>
      <c r="H145" s="42"/>
      <c r="I145" s="42"/>
      <c r="J145" s="42"/>
    </row>
    <row r="146" spans="1:10" ht="16.2" thickBot="1" x14ac:dyDescent="0.35">
      <c r="A146" s="137" t="s">
        <v>1317</v>
      </c>
      <c r="B146" s="79"/>
      <c r="C146" s="79"/>
      <c r="D146" s="79"/>
      <c r="E146" s="79"/>
      <c r="F146" s="79"/>
      <c r="G146" s="80"/>
      <c r="H146" s="80"/>
      <c r="I146" s="80"/>
      <c r="J146" s="80"/>
    </row>
    <row r="147" spans="1:10" ht="15" thickBot="1" x14ac:dyDescent="0.35">
      <c r="A147" s="23" t="s">
        <v>0</v>
      </c>
      <c r="B147" s="8" t="s">
        <v>1</v>
      </c>
      <c r="C147" s="64" t="s">
        <v>2</v>
      </c>
      <c r="D147" s="227" t="s">
        <v>854</v>
      </c>
      <c r="E147" s="590" t="s">
        <v>855</v>
      </c>
      <c r="F147" s="591"/>
      <c r="G147" s="591"/>
      <c r="H147" s="226" t="s">
        <v>1208</v>
      </c>
      <c r="I147" s="70" t="s">
        <v>856</v>
      </c>
      <c r="J147" s="73" t="s">
        <v>3</v>
      </c>
    </row>
    <row r="148" spans="1:10" ht="16.2" thickBot="1" x14ac:dyDescent="0.35">
      <c r="A148" s="17">
        <v>1</v>
      </c>
      <c r="B148" s="10" t="s">
        <v>1135</v>
      </c>
      <c r="C148" s="10">
        <v>3219</v>
      </c>
      <c r="D148" s="3">
        <v>2744</v>
      </c>
      <c r="E148" s="6"/>
      <c r="F148" s="6"/>
      <c r="G148" s="6"/>
      <c r="H148" s="6">
        <f>SUM(E148:G148)</f>
        <v>0</v>
      </c>
      <c r="I148" s="72">
        <f>D148-H148</f>
        <v>2744</v>
      </c>
      <c r="J148" s="74"/>
    </row>
    <row r="149" spans="1:10" ht="16.2" thickBot="1" x14ac:dyDescent="0.35">
      <c r="A149" s="17">
        <v>2</v>
      </c>
      <c r="B149" s="3" t="s">
        <v>688</v>
      </c>
      <c r="C149" s="3">
        <v>2980</v>
      </c>
      <c r="D149" s="3">
        <v>2744</v>
      </c>
      <c r="E149" s="6">
        <v>260</v>
      </c>
      <c r="F149" s="6">
        <v>900</v>
      </c>
      <c r="G149" s="6"/>
      <c r="H149" s="6">
        <f t="shared" ref="H149:H150" si="23">SUM(E149:G149)</f>
        <v>1160</v>
      </c>
      <c r="I149" s="72">
        <f t="shared" ref="I149:I150" si="24">D149-H149</f>
        <v>1584</v>
      </c>
      <c r="J149" s="6" t="s">
        <v>1395</v>
      </c>
    </row>
    <row r="150" spans="1:10" ht="16.2" thickBot="1" x14ac:dyDescent="0.35">
      <c r="A150" s="17">
        <v>3</v>
      </c>
      <c r="B150" s="159" t="s">
        <v>664</v>
      </c>
      <c r="C150" s="159"/>
      <c r="D150" s="3">
        <v>2744</v>
      </c>
      <c r="E150" s="83"/>
      <c r="F150" s="83"/>
      <c r="G150" s="83"/>
      <c r="H150" s="6">
        <f t="shared" si="23"/>
        <v>0</v>
      </c>
      <c r="I150" s="72">
        <f t="shared" si="24"/>
        <v>2744</v>
      </c>
      <c r="J150" s="162"/>
    </row>
    <row r="151" spans="1:10" ht="15.6" x14ac:dyDescent="0.3">
      <c r="A151" s="89"/>
      <c r="B151" s="160"/>
      <c r="C151" s="160"/>
      <c r="D151" s="512">
        <f>SUM(D148:D150)</f>
        <v>8232</v>
      </c>
      <c r="E151" s="512">
        <f t="shared" ref="E151:I151" si="25">SUM(E148:E150)</f>
        <v>260</v>
      </c>
      <c r="F151" s="512">
        <f t="shared" si="25"/>
        <v>900</v>
      </c>
      <c r="G151" s="512">
        <f t="shared" si="25"/>
        <v>0</v>
      </c>
      <c r="H151" s="512">
        <f t="shared" si="25"/>
        <v>1160</v>
      </c>
      <c r="I151" s="512">
        <f t="shared" si="25"/>
        <v>7072</v>
      </c>
      <c r="J151" s="91"/>
    </row>
    <row r="152" spans="1:10" ht="15.6" x14ac:dyDescent="0.3">
      <c r="A152" s="39"/>
      <c r="B152" s="155"/>
      <c r="C152" s="155"/>
      <c r="D152" s="155"/>
      <c r="E152" s="155"/>
      <c r="F152" s="155"/>
      <c r="G152" s="35"/>
      <c r="H152" s="42"/>
      <c r="I152" s="42"/>
      <c r="J152" s="42"/>
    </row>
    <row r="153" spans="1:10" ht="15.6" x14ac:dyDescent="0.3">
      <c r="A153" s="35"/>
      <c r="B153" s="34"/>
      <c r="C153" s="43"/>
      <c r="D153" s="43"/>
      <c r="E153" s="43"/>
      <c r="F153" s="43"/>
      <c r="G153" s="35"/>
      <c r="H153" s="42"/>
      <c r="I153" s="42"/>
      <c r="J153" s="42"/>
    </row>
    <row r="154" spans="1:10" ht="16.2" thickBot="1" x14ac:dyDescent="0.35">
      <c r="A154" s="85" t="s">
        <v>1318</v>
      </c>
      <c r="B154" s="79"/>
      <c r="C154" s="79"/>
      <c r="D154" s="79"/>
      <c r="E154" s="79"/>
      <c r="F154" s="79"/>
      <c r="G154" s="80"/>
      <c r="H154" s="80"/>
      <c r="I154" s="80"/>
      <c r="J154" s="80"/>
    </row>
    <row r="155" spans="1:10" ht="26.4" customHeight="1" thickBot="1" x14ac:dyDescent="0.35">
      <c r="A155" s="64" t="s">
        <v>0</v>
      </c>
      <c r="B155" s="8" t="s">
        <v>1</v>
      </c>
      <c r="C155" s="64" t="s">
        <v>2</v>
      </c>
      <c r="D155" s="227" t="s">
        <v>854</v>
      </c>
      <c r="E155" s="590" t="s">
        <v>855</v>
      </c>
      <c r="F155" s="591"/>
      <c r="G155" s="591"/>
      <c r="H155" s="226" t="s">
        <v>1208</v>
      </c>
      <c r="I155" s="70" t="s">
        <v>856</v>
      </c>
      <c r="J155" s="8" t="s">
        <v>3</v>
      </c>
    </row>
    <row r="156" spans="1:10" ht="16.2" thickBot="1" x14ac:dyDescent="0.35">
      <c r="A156" s="17">
        <v>1</v>
      </c>
      <c r="B156" s="3" t="s">
        <v>992</v>
      </c>
      <c r="C156" s="17">
        <v>2420</v>
      </c>
      <c r="D156" s="82">
        <v>2744</v>
      </c>
      <c r="E156" s="3"/>
      <c r="F156" s="3"/>
      <c r="G156" s="9"/>
      <c r="H156" s="6">
        <f>SUM(E156:G156)</f>
        <v>0</v>
      </c>
      <c r="I156" s="6">
        <f>D156-H156</f>
        <v>2744</v>
      </c>
      <c r="J156" s="6"/>
    </row>
    <row r="157" spans="1:10" ht="16.2" thickBot="1" x14ac:dyDescent="0.35">
      <c r="A157" s="17">
        <v>2</v>
      </c>
      <c r="B157" s="3" t="s">
        <v>100</v>
      </c>
      <c r="C157" s="9">
        <v>2421</v>
      </c>
      <c r="D157" s="82">
        <v>2744</v>
      </c>
      <c r="E157" s="3">
        <v>1200</v>
      </c>
      <c r="F157" s="3"/>
      <c r="G157" s="9"/>
      <c r="H157" s="6">
        <f t="shared" ref="H157:H160" si="26">SUM(E157:G157)</f>
        <v>1200</v>
      </c>
      <c r="I157" s="6">
        <f t="shared" ref="I157:I160" si="27">D157-H157</f>
        <v>1544</v>
      </c>
      <c r="J157" s="6"/>
    </row>
    <row r="158" spans="1:10" ht="16.2" thickBot="1" x14ac:dyDescent="0.35">
      <c r="A158" s="17">
        <v>3</v>
      </c>
      <c r="B158" s="3" t="s">
        <v>307</v>
      </c>
      <c r="C158" s="9">
        <v>1716</v>
      </c>
      <c r="D158" s="82">
        <v>2744</v>
      </c>
      <c r="E158" s="3"/>
      <c r="F158" s="3"/>
      <c r="G158" s="9"/>
      <c r="H158" s="6">
        <f t="shared" si="26"/>
        <v>0</v>
      </c>
      <c r="I158" s="6">
        <f t="shared" si="27"/>
        <v>2744</v>
      </c>
      <c r="J158" s="6"/>
    </row>
    <row r="159" spans="1:10" ht="16.2" thickBot="1" x14ac:dyDescent="0.35">
      <c r="A159" s="17">
        <v>4</v>
      </c>
      <c r="B159" s="3" t="s">
        <v>100</v>
      </c>
      <c r="C159" s="17"/>
      <c r="D159" s="82">
        <v>2744</v>
      </c>
      <c r="E159" s="3"/>
      <c r="F159" s="9"/>
      <c r="G159" s="6"/>
      <c r="H159" s="6">
        <f t="shared" si="26"/>
        <v>0</v>
      </c>
      <c r="I159" s="6">
        <f t="shared" si="27"/>
        <v>2744</v>
      </c>
      <c r="J159" s="7"/>
    </row>
    <row r="160" spans="1:10" ht="16.2" thickBot="1" x14ac:dyDescent="0.35">
      <c r="A160" s="17">
        <v>5</v>
      </c>
      <c r="B160" s="82" t="s">
        <v>1145</v>
      </c>
      <c r="C160" s="81">
        <v>2423</v>
      </c>
      <c r="D160" s="82">
        <v>2744</v>
      </c>
      <c r="E160" s="82"/>
      <c r="F160" s="82"/>
      <c r="G160" s="136"/>
      <c r="H160" s="6">
        <f t="shared" si="26"/>
        <v>0</v>
      </c>
      <c r="I160" s="6">
        <f t="shared" si="27"/>
        <v>2744</v>
      </c>
      <c r="J160" s="83"/>
    </row>
    <row r="161" spans="1:10" ht="15.6" x14ac:dyDescent="0.3">
      <c r="A161" s="138"/>
      <c r="B161" s="139"/>
      <c r="C161" s="92"/>
      <c r="D161" s="502">
        <f>SUM(D156:D160)</f>
        <v>13720</v>
      </c>
      <c r="E161" s="502">
        <f t="shared" ref="E161:I161" si="28">SUM(E156:E160)</f>
        <v>1200</v>
      </c>
      <c r="F161" s="502">
        <f t="shared" si="28"/>
        <v>0</v>
      </c>
      <c r="G161" s="502">
        <f t="shared" si="28"/>
        <v>0</v>
      </c>
      <c r="H161" s="502">
        <f t="shared" si="28"/>
        <v>1200</v>
      </c>
      <c r="I161" s="502">
        <f t="shared" si="28"/>
        <v>12520</v>
      </c>
      <c r="J161" s="91"/>
    </row>
    <row r="162" spans="1:10" ht="15.6" x14ac:dyDescent="0.3">
      <c r="A162" s="35"/>
      <c r="B162" s="34"/>
      <c r="C162" s="218"/>
      <c r="D162" s="218"/>
      <c r="E162" s="218"/>
      <c r="F162" s="218"/>
      <c r="G162" s="35"/>
      <c r="H162" s="42"/>
      <c r="I162" s="42"/>
      <c r="J162" s="42"/>
    </row>
    <row r="163" spans="1:10" ht="16.2" thickBot="1" x14ac:dyDescent="0.35">
      <c r="A163" s="153"/>
      <c r="B163" s="154"/>
      <c r="C163" s="87"/>
      <c r="D163" s="87"/>
      <c r="E163" s="87"/>
      <c r="F163" s="87"/>
      <c r="G163" s="153"/>
      <c r="H163" s="88"/>
      <c r="I163" s="88"/>
      <c r="J163" s="88"/>
    </row>
    <row r="164" spans="1:10" ht="16.2" thickBot="1" x14ac:dyDescent="0.35">
      <c r="A164" s="5" t="s">
        <v>1319</v>
      </c>
      <c r="B164" s="4"/>
      <c r="C164" s="4"/>
      <c r="D164" s="4"/>
      <c r="E164" s="4"/>
      <c r="F164" s="4"/>
      <c r="G164" s="6"/>
      <c r="H164" s="6"/>
      <c r="I164" s="6"/>
      <c r="J164" s="6"/>
    </row>
    <row r="165" spans="1:10" ht="15" thickBot="1" x14ac:dyDescent="0.35">
      <c r="A165" s="23" t="s">
        <v>0</v>
      </c>
      <c r="B165" s="8" t="s">
        <v>1</v>
      </c>
      <c r="C165" s="64" t="s">
        <v>2</v>
      </c>
      <c r="D165" s="7" t="s">
        <v>854</v>
      </c>
      <c r="E165" s="592" t="s">
        <v>855</v>
      </c>
      <c r="F165" s="593"/>
      <c r="G165" s="593"/>
      <c r="H165" s="224" t="s">
        <v>1208</v>
      </c>
      <c r="I165" s="7" t="s">
        <v>856</v>
      </c>
      <c r="J165" s="8" t="s">
        <v>3</v>
      </c>
    </row>
    <row r="166" spans="1:10" ht="15.6" x14ac:dyDescent="0.3">
      <c r="A166" s="81">
        <v>1</v>
      </c>
      <c r="B166" s="82" t="s">
        <v>345</v>
      </c>
      <c r="C166" s="82">
        <v>2425</v>
      </c>
      <c r="D166" s="82">
        <v>2744</v>
      </c>
      <c r="E166" s="82">
        <v>1000</v>
      </c>
      <c r="F166" s="82"/>
      <c r="G166" s="136"/>
      <c r="H166" s="83">
        <f>SUM(E166:G166)</f>
        <v>1000</v>
      </c>
      <c r="I166" s="83">
        <f>D166-H166</f>
        <v>1744</v>
      </c>
      <c r="J166" s="83"/>
    </row>
    <row r="167" spans="1:10" ht="15.6" x14ac:dyDescent="0.3">
      <c r="A167" s="89"/>
      <c r="B167" s="90"/>
      <c r="C167" s="90"/>
      <c r="D167" s="90"/>
      <c r="E167" s="90"/>
      <c r="F167" s="90"/>
      <c r="G167" s="138"/>
      <c r="H167" s="91"/>
      <c r="I167" s="91"/>
      <c r="J167" s="91"/>
    </row>
    <row r="168" spans="1:10" ht="15.6" x14ac:dyDescent="0.3">
      <c r="A168" s="39"/>
      <c r="B168" s="155"/>
      <c r="C168" s="155"/>
      <c r="D168" s="155"/>
      <c r="E168" s="155"/>
      <c r="F168" s="155"/>
      <c r="G168" s="35"/>
      <c r="H168" s="42"/>
      <c r="I168" s="42"/>
      <c r="J168" s="42"/>
    </row>
    <row r="169" spans="1:10" ht="15.6" x14ac:dyDescent="0.3">
      <c r="A169" s="138"/>
      <c r="B169" s="139"/>
      <c r="C169" s="92"/>
      <c r="D169" s="92"/>
      <c r="E169" s="92"/>
      <c r="F169" s="92"/>
      <c r="G169" s="138"/>
      <c r="H169" s="91"/>
      <c r="I169" s="91"/>
      <c r="J169" s="91"/>
    </row>
    <row r="170" spans="1:10" ht="15.6" x14ac:dyDescent="0.3">
      <c r="A170" s="35"/>
      <c r="B170" s="34"/>
      <c r="C170" s="43"/>
      <c r="D170" s="43"/>
      <c r="E170" s="43"/>
      <c r="F170" s="43"/>
      <c r="G170" s="35"/>
      <c r="H170" s="42"/>
      <c r="I170" s="42"/>
      <c r="J170" s="42"/>
    </row>
    <row r="171" spans="1:10" ht="15.6" x14ac:dyDescent="0.3">
      <c r="A171" s="35"/>
      <c r="B171" s="34"/>
      <c r="C171" s="43"/>
      <c r="D171" s="43"/>
      <c r="E171" s="43"/>
      <c r="F171" s="43"/>
      <c r="G171" s="35"/>
      <c r="H171" s="42"/>
      <c r="I171" s="42"/>
      <c r="J171" s="42"/>
    </row>
    <row r="172" spans="1:10" ht="15.6" x14ac:dyDescent="0.3">
      <c r="A172" s="35"/>
      <c r="B172" s="34"/>
      <c r="C172" s="43"/>
      <c r="D172" s="43"/>
      <c r="E172" s="43"/>
      <c r="F172" s="43"/>
      <c r="G172" s="35"/>
      <c r="H172" s="42"/>
      <c r="I172" s="42"/>
      <c r="J172" s="42"/>
    </row>
    <row r="173" spans="1:10" ht="15.6" x14ac:dyDescent="0.3">
      <c r="A173" s="35"/>
      <c r="B173" s="34"/>
      <c r="C173" s="43"/>
      <c r="D173" s="43"/>
      <c r="E173" s="43"/>
      <c r="F173" s="43"/>
      <c r="G173" s="35"/>
      <c r="H173" s="42"/>
      <c r="I173" s="42"/>
      <c r="J173" s="42"/>
    </row>
    <row r="174" spans="1:10" ht="15.6" x14ac:dyDescent="0.3">
      <c r="A174" s="35"/>
      <c r="B174" s="34"/>
      <c r="C174" s="35"/>
      <c r="D174" s="35"/>
      <c r="E174" s="35"/>
      <c r="F174" s="35"/>
      <c r="G174" s="35"/>
      <c r="H174" s="42"/>
      <c r="I174" s="42"/>
      <c r="J174" s="42"/>
    </row>
    <row r="175" spans="1:10" x14ac:dyDescent="0.3">
      <c r="A175" s="43"/>
      <c r="B175" s="43"/>
      <c r="C175" s="43"/>
      <c r="D175" s="43"/>
      <c r="E175" s="43"/>
      <c r="F175" s="43"/>
      <c r="G175" s="43"/>
      <c r="H175" s="43"/>
      <c r="I175" s="43"/>
      <c r="J175" s="43"/>
    </row>
  </sheetData>
  <sortState ref="B76:J113">
    <sortCondition ref="B76:B113"/>
  </sortState>
  <mergeCells count="12">
    <mergeCell ref="E155:G155"/>
    <mergeCell ref="E165:G165"/>
    <mergeCell ref="E147:G147"/>
    <mergeCell ref="A1:J1"/>
    <mergeCell ref="A2:J2"/>
    <mergeCell ref="E126:G126"/>
    <mergeCell ref="E117:G117"/>
    <mergeCell ref="E110:G110"/>
    <mergeCell ref="E68:G68"/>
    <mergeCell ref="E42:G42"/>
    <mergeCell ref="E18:G18"/>
    <mergeCell ref="E4:G4"/>
  </mergeCells>
  <pageMargins left="0.7" right="0.7" top="0.75" bottom="0.75" header="0.3" footer="0.3"/>
  <pageSetup scale="98" orientation="portrait" horizontalDpi="360" verticalDpi="360" r:id="rId1"/>
  <rowBreaks count="4" manualBreakCount="4">
    <brk id="40" max="16383" man="1"/>
    <brk id="81" max="9" man="1"/>
    <brk id="122" max="16383" man="1"/>
    <brk id="16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AGRICULTURE</vt:lpstr>
      <vt:lpstr>SOCIAL SCIENCE</vt:lpstr>
      <vt:lpstr>TECHNOLOGY</vt:lpstr>
      <vt:lpstr>HEALTH SCIENCE</vt:lpstr>
      <vt:lpstr>THEOLOGY</vt:lpstr>
      <vt:lpstr>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Registry</dc:creator>
  <cp:lastModifiedBy>User</cp:lastModifiedBy>
  <cp:lastPrinted>2026-06-18T13:14:46Z</cp:lastPrinted>
  <dcterms:created xsi:type="dcterms:W3CDTF">2011-06-22T12:34:07Z</dcterms:created>
  <dcterms:modified xsi:type="dcterms:W3CDTF">2026-06-24T13:09:01Z</dcterms:modified>
</cp:coreProperties>
</file>